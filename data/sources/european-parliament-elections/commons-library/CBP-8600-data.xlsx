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S:\Teams\Statistics\Subjects\Elections\Devolved, European, Local, PCC and Referendums\European Elections\2019 European Elections\files for publication with briefing paper\"/>
    </mc:Choice>
  </mc:AlternateContent>
  <xr:revisionPtr revIDLastSave="0" documentId="13_ncr:1_{6E34CF62-2852-4306-8888-D06961C70AD1}" xr6:coauthVersionLast="36" xr6:coauthVersionMax="36" xr10:uidLastSave="{00000000-0000-0000-0000-000000000000}"/>
  <bookViews>
    <workbookView xWindow="0" yWindow="0" windowWidth="23040" windowHeight="8484" activeTab="1" xr2:uid="{808A8868-F9FF-47C1-9BED-2E15763D1CF8}"/>
  </bookViews>
  <sheets>
    <sheet name="Vote share by LA" sheetId="1" r:id="rId1"/>
    <sheet name="UK MEPs" sheetId="2" r:id="rId2"/>
  </sheets>
  <definedNames>
    <definedName name="_xlnm._FilterDatabase" localSheetId="0" hidden="1">'Vote share by LA'!$A$1:$N$373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N44" i="1" l="1"/>
  <c r="N53" i="1"/>
  <c r="N82" i="1"/>
  <c r="N96" i="1"/>
  <c r="N112" i="1"/>
  <c r="N155" i="1"/>
  <c r="N183" i="1"/>
  <c r="N189" i="1"/>
  <c r="N210" i="1"/>
  <c r="N224" i="1"/>
  <c r="N230" i="1"/>
  <c r="N246" i="1"/>
  <c r="N258" i="1"/>
  <c r="N265" i="1"/>
  <c r="N274" i="1"/>
  <c r="N276" i="1"/>
  <c r="N293" i="1"/>
  <c r="N301" i="1"/>
  <c r="N302" i="1"/>
  <c r="N307" i="1"/>
  <c r="N308" i="1"/>
  <c r="N317" i="1"/>
  <c r="N320" i="1"/>
  <c r="N338" i="1"/>
  <c r="N342" i="1"/>
  <c r="N364" i="1"/>
  <c r="N365" i="1"/>
  <c r="N368" i="1"/>
  <c r="N371" i="1"/>
  <c r="N24" i="1"/>
  <c r="N10" i="1"/>
  <c r="N20" i="1"/>
  <c r="N25" i="1"/>
  <c r="N29" i="1"/>
  <c r="N31" i="1"/>
  <c r="N46" i="1"/>
  <c r="N61" i="1"/>
  <c r="N67" i="1"/>
  <c r="N79" i="1"/>
  <c r="N89" i="1"/>
  <c r="N91" i="1"/>
  <c r="N92" i="1"/>
  <c r="N107" i="1"/>
  <c r="N109" i="1"/>
  <c r="N121" i="1"/>
  <c r="N132" i="1"/>
  <c r="N145" i="1"/>
  <c r="N157" i="1"/>
  <c r="N160" i="1"/>
  <c r="N171" i="1"/>
  <c r="N180" i="1"/>
  <c r="N184" i="1"/>
  <c r="N191" i="1"/>
  <c r="N193" i="1"/>
  <c r="N208" i="1"/>
  <c r="N215" i="1"/>
  <c r="N218" i="1"/>
  <c r="N225" i="1"/>
  <c r="N226" i="1"/>
  <c r="N229" i="1"/>
  <c r="N231" i="1"/>
  <c r="N260" i="1"/>
  <c r="N262" i="1"/>
  <c r="N281" i="1"/>
  <c r="N284" i="1"/>
  <c r="N285" i="1"/>
  <c r="N289" i="1"/>
  <c r="N346" i="1"/>
  <c r="N352" i="1"/>
  <c r="N6" i="1"/>
  <c r="N373" i="1" l="1"/>
  <c r="N34" i="1"/>
  <c r="N50" i="1"/>
  <c r="N83" i="1"/>
  <c r="N93" i="1"/>
  <c r="N111" i="1"/>
  <c r="N143" i="1"/>
  <c r="N148" i="1"/>
  <c r="N173" i="1"/>
  <c r="N175" i="1"/>
  <c r="N179" i="1"/>
  <c r="N216" i="1"/>
  <c r="N220" i="1"/>
  <c r="N252" i="1"/>
  <c r="N257" i="1"/>
  <c r="N263" i="1"/>
  <c r="N266" i="1"/>
  <c r="N270" i="1"/>
  <c r="N272" i="1"/>
  <c r="N337" i="1"/>
  <c r="N16" i="1"/>
  <c r="N223" i="1" l="1"/>
  <c r="N209" i="1"/>
  <c r="N200" i="1"/>
  <c r="N151" i="1"/>
  <c r="N131" i="1"/>
  <c r="N99" i="1"/>
  <c r="N87" i="1"/>
</calcChain>
</file>

<file path=xl/sharedStrings.xml><?xml version="1.0" encoding="utf-8"?>
<sst xmlns="http://schemas.openxmlformats.org/spreadsheetml/2006/main" count="1500" uniqueCount="873">
  <si>
    <t>Con</t>
  </si>
  <si>
    <t>Lab</t>
  </si>
  <si>
    <t>UKIP</t>
  </si>
  <si>
    <t>Green</t>
  </si>
  <si>
    <t>Others</t>
  </si>
  <si>
    <t>SNP/PC</t>
  </si>
  <si>
    <t>Electorate</t>
  </si>
  <si>
    <t>Turnout</t>
  </si>
  <si>
    <t>North East</t>
  </si>
  <si>
    <t>Darlington</t>
  </si>
  <si>
    <t>Durham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</si>
  <si>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</si>
  <si>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</si>
  <si>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</si>
  <si>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</si>
  <si>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</si>
  <si>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</si>
  <si>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</si>
  <si>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</si>
  <si>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</t>
  </si>
  <si>
    <t>Sunderland</t>
  </si>
  <si>
    <t>North West</t>
  </si>
  <si>
    <t>Allerdale</t>
  </si>
  <si>
    <t>Barrow in Furness</t>
  </si>
  <si>
    <t>Blackburn with Darwen</t>
  </si>
  <si>
    <t>Blackpool</t>
  </si>
  <si>
    <t>Bolton</t>
  </si>
  <si>
    <t xml:space="preserve">Burnley </t>
  </si>
  <si>
    <t>Bury</t>
  </si>
  <si>
    <t>Carlisle</t>
  </si>
  <si>
    <t>Cheshire East</t>
  </si>
  <si>
    <t>Cheshire West and Chester</t>
  </si>
  <si>
    <t xml:space="preserve">Chorley </t>
  </si>
  <si>
    <t>Copeland</t>
  </si>
  <si>
    <t>Eden</t>
  </si>
  <si>
    <t xml:space="preserve">Fylde </t>
  </si>
  <si>
    <t xml:space="preserve">Halton </t>
  </si>
  <si>
    <t xml:space="preserve">Hyndburn </t>
  </si>
  <si>
    <t>Knowsley</t>
  </si>
  <si>
    <t xml:space="preserve">Lancaster </t>
  </si>
  <si>
    <t>Liverpool</t>
  </si>
  <si>
    <t>Manchester</t>
  </si>
  <si>
    <t>Oldham</t>
  </si>
  <si>
    <t xml:space="preserve">Pendle </t>
  </si>
  <si>
    <t xml:space="preserve">Preston </t>
  </si>
  <si>
    <t xml:space="preserve">Ribble Valley </t>
  </si>
  <si>
    <t>Rochdale</t>
  </si>
  <si>
    <t xml:space="preserve">Rossendale </t>
  </si>
  <si>
    <t>Salford</t>
  </si>
  <si>
    <t>Sefton</t>
  </si>
  <si>
    <t>South Lakeland</t>
  </si>
  <si>
    <t xml:space="preserve">South Ribble </t>
  </si>
  <si>
    <t>St. Helens</t>
  </si>
  <si>
    <t>Stockport</t>
  </si>
  <si>
    <t>Tameside</t>
  </si>
  <si>
    <t>Trafford</t>
  </si>
  <si>
    <t>Warrington</t>
  </si>
  <si>
    <t xml:space="preserve">West Lancashire </t>
  </si>
  <si>
    <t>Wigan</t>
  </si>
  <si>
    <t>Wirral</t>
  </si>
  <si>
    <t xml:space="preserve">Wyre </t>
  </si>
  <si>
    <t>Yorkshire and the Humber</t>
  </si>
  <si>
    <t>Barnsley</t>
  </si>
  <si>
    <t>Bradford</t>
  </si>
  <si>
    <t>Calderdale</t>
  </si>
  <si>
    <t>Craven</t>
  </si>
  <si>
    <t>Doncaster</t>
  </si>
  <si>
    <t>East Riding</t>
  </si>
  <si>
    <t>Hambleton</t>
  </si>
  <si>
    <t>Harrogate</t>
  </si>
  <si>
    <t>Kingston Upon Hull</t>
  </si>
  <si>
    <t>Kirklees</t>
  </si>
  <si>
    <t>Leeds</t>
  </si>
  <si>
    <t>North East Lincolnshire</t>
  </si>
  <si>
    <t>North Lincolnshire</t>
  </si>
  <si>
    <t>Richmondshire</t>
  </si>
  <si>
    <t>Rotherham</t>
  </si>
  <si>
    <t>Ryedale</t>
  </si>
  <si>
    <t>Scarborough</t>
  </si>
  <si>
    <t>Selby</t>
  </si>
  <si>
    <t>Sheffield</t>
  </si>
  <si>
    <t>Wakefield</t>
  </si>
  <si>
    <t>York</t>
  </si>
  <si>
    <t>East Midlands</t>
  </si>
  <si>
    <t>Amber Valley</t>
  </si>
  <si>
    <t>Ashfield</t>
  </si>
  <si>
    <t>Bassetlaw</t>
  </si>
  <si>
    <t>Blaby</t>
  </si>
  <si>
    <t>Bolsover</t>
  </si>
  <si>
    <t>Boston</t>
  </si>
  <si>
    <t>Broxtowe</t>
  </si>
  <si>
    <t>Charnwood</t>
  </si>
  <si>
    <t>Chesterfield</t>
  </si>
  <si>
    <t>Corby</t>
  </si>
  <si>
    <t>Daventry</t>
  </si>
  <si>
    <t>Derby City</t>
  </si>
  <si>
    <t>Derbyshire Dales</t>
  </si>
  <si>
    <t>East Lindsey</t>
  </si>
  <si>
    <t>East Northamptonshire</t>
  </si>
  <si>
    <t>Erewash</t>
  </si>
  <si>
    <t>Gedling</t>
  </si>
  <si>
    <t>Harborough</t>
  </si>
  <si>
    <t>High Peak</t>
  </si>
  <si>
    <t>Hinckley &amp; Bosworth</t>
  </si>
  <si>
    <t>Kettering</t>
  </si>
  <si>
    <t>Leicester City</t>
  </si>
  <si>
    <t>Lincoln City</t>
  </si>
  <si>
    <t>Mansfield</t>
  </si>
  <si>
    <t>Melton</t>
  </si>
  <si>
    <t>Newark &amp; Sherwood</t>
  </si>
  <si>
    <t>North East Derbyshire</t>
  </si>
  <si>
    <t>North Kesteven</t>
  </si>
  <si>
    <t>North West Leicestershire</t>
  </si>
  <si>
    <t>Northampton</t>
  </si>
  <si>
    <t>Nottingham City</t>
  </si>
  <si>
    <t>Oadby &amp; Wigston</t>
  </si>
  <si>
    <t>Rushcliffe</t>
  </si>
  <si>
    <t>Rutland</t>
  </si>
  <si>
    <t>South Derbyshire</t>
  </si>
  <si>
    <t>South Holland</t>
  </si>
  <si>
    <t>South Kesteven</t>
  </si>
  <si>
    <t>South Northamptonshire</t>
  </si>
  <si>
    <t>Wellingborough</t>
  </si>
  <si>
    <t>West Lindsey</t>
  </si>
  <si>
    <t>West Midlands</t>
  </si>
  <si>
    <t>Birmingham</t>
  </si>
  <si>
    <t>Bromsgrove</t>
  </si>
  <si>
    <t>Cannock Chase</t>
  </si>
  <si>
    <t>Coventry</t>
  </si>
  <si>
    <t>Dudley</t>
  </si>
  <si>
    <t>East Staffordshire</t>
  </si>
  <si>
    <t>Herefordshire</t>
  </si>
  <si>
    <t>Lichfield</t>
  </si>
  <si>
    <t>Malvern Hills</t>
  </si>
  <si>
    <t>Newcastle-under-Lyme</t>
  </si>
  <si>
    <t>North Warwickshire</t>
  </si>
  <si>
    <t>Nuneaton &amp; Bedworth</t>
  </si>
  <si>
    <t>Redditch</t>
  </si>
  <si>
    <t>Rugby</t>
  </si>
  <si>
    <t>Sandwell</t>
  </si>
  <si>
    <t>Shropshire</t>
  </si>
  <si>
    <t>Solihull</t>
  </si>
  <si>
    <t>South Staffordshire</t>
  </si>
  <si>
    <t>Stafford</t>
  </si>
  <si>
    <t>Staffordshire Moorlands</t>
  </si>
  <si>
    <t>Stoke-on-Trent</t>
  </si>
  <si>
    <t>Stratford on Avon</t>
  </si>
  <si>
    <t>Tamworth</t>
  </si>
  <si>
    <t>Telford &amp; Wrekin</t>
  </si>
  <si>
    <t>Walsall</t>
  </si>
  <si>
    <t>Warwick</t>
  </si>
  <si>
    <t>Wolverhampton</t>
  </si>
  <si>
    <t>Worcester</t>
  </si>
  <si>
    <t>Wychavon</t>
  </si>
  <si>
    <t>Wyre Forest</t>
  </si>
  <si>
    <t>East</t>
  </si>
  <si>
    <t>Babergh</t>
  </si>
  <si>
    <t>Basildon</t>
  </si>
  <si>
    <t xml:space="preserve">Bedford </t>
  </si>
  <si>
    <t>Braintree</t>
  </si>
  <si>
    <t xml:space="preserve">Breckland </t>
  </si>
  <si>
    <t>Brentwood</t>
  </si>
  <si>
    <t xml:space="preserve">Broadland </t>
  </si>
  <si>
    <t xml:space="preserve">Broxbourne </t>
  </si>
  <si>
    <t>Cambridge</t>
  </si>
  <si>
    <t>Castle Point</t>
  </si>
  <si>
    <t>Central Bedfordshire</t>
  </si>
  <si>
    <t xml:space="preserve">Chelmsford </t>
  </si>
  <si>
    <t xml:space="preserve">Colchester </t>
  </si>
  <si>
    <t xml:space="preserve">Dacorum </t>
  </si>
  <si>
    <t xml:space="preserve">East Cambridgeshire </t>
  </si>
  <si>
    <t xml:space="preserve">East Hertfordshire </t>
  </si>
  <si>
    <t>East Suffolk</t>
  </si>
  <si>
    <t>Epping Forest</t>
  </si>
  <si>
    <t xml:space="preserve">Fenland </t>
  </si>
  <si>
    <t>Great Yarmouth</t>
  </si>
  <si>
    <t>Harlow</t>
  </si>
  <si>
    <t xml:space="preserve">Hertsmere </t>
  </si>
  <si>
    <t xml:space="preserve">Huntingdonshire </t>
  </si>
  <si>
    <t xml:space="preserve">Ipswich </t>
  </si>
  <si>
    <t>King's Lynn &amp; West Norfolk</t>
  </si>
  <si>
    <t xml:space="preserve">Luton </t>
  </si>
  <si>
    <t xml:space="preserve">Maldon </t>
  </si>
  <si>
    <t xml:space="preserve">Mid Suffolk </t>
  </si>
  <si>
    <t>North Hertfordshire</t>
  </si>
  <si>
    <t xml:space="preserve">North Norfolk </t>
  </si>
  <si>
    <t xml:space="preserve">Norwich </t>
  </si>
  <si>
    <t>Peterborough</t>
  </si>
  <si>
    <t>Rochford</t>
  </si>
  <si>
    <t xml:space="preserve">South Cambridgeshire </t>
  </si>
  <si>
    <t>South Norfolk</t>
  </si>
  <si>
    <t>Southend-on-Sea</t>
  </si>
  <si>
    <t xml:space="preserve">St Albans </t>
  </si>
  <si>
    <t>Stevenage</t>
  </si>
  <si>
    <t>Tendring</t>
  </si>
  <si>
    <t xml:space="preserve">Three Rivers </t>
  </si>
  <si>
    <t xml:space="preserve">Thurrock </t>
  </si>
  <si>
    <t xml:space="preserve">Uttlesford </t>
  </si>
  <si>
    <t xml:space="preserve">Watford </t>
  </si>
  <si>
    <t>Welwyn Hatfield</t>
  </si>
  <si>
    <t>West Suffolk</t>
  </si>
  <si>
    <t>London</t>
  </si>
  <si>
    <t>Barking &amp; Dagenham</t>
  </si>
  <si>
    <t>Barnet</t>
  </si>
  <si>
    <t>Bexley</t>
  </si>
  <si>
    <t>Brent</t>
  </si>
  <si>
    <t>Bromley</t>
  </si>
  <si>
    <t>Camden</t>
  </si>
  <si>
    <t>City of London</t>
  </si>
  <si>
    <t>Croydon</t>
  </si>
  <si>
    <t>Ealing</t>
  </si>
  <si>
    <t>Enfield</t>
  </si>
  <si>
    <t>Greenwich</t>
  </si>
  <si>
    <t>Hackney</t>
  </si>
  <si>
    <t>Hammersmith &amp; Fulham</t>
  </si>
  <si>
    <t>Haringey</t>
  </si>
  <si>
    <t>Harrow</t>
  </si>
  <si>
    <t>Havering</t>
  </si>
  <si>
    <t>Hillingdon</t>
  </si>
  <si>
    <t>Hounslow</t>
  </si>
  <si>
    <t>Islington</t>
  </si>
  <si>
    <t>Kensington &amp;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</si>
  <si>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</si>
  <si>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</si>
  <si>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</si>
  <si>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</si>
  <si>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</si>
  <si>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</si>
  <si>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</si>
  <si>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</si>
  <si>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</si>
  <si>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</si>
  <si>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</si>
  <si>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</si>
  <si>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</si>
  <si>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South East</t>
  </si>
  <si>
    <t>Adur</t>
  </si>
  <si>
    <t>Arun</t>
  </si>
  <si>
    <t>Ashford</t>
  </si>
  <si>
    <t>Aylesbury Vale</t>
  </si>
  <si>
    <t xml:space="preserve">Basingstoke and Deane </t>
  </si>
  <si>
    <t>Bracknell Forest</t>
  </si>
  <si>
    <t xml:space="preserve">Brighton &amp; Hove </t>
  </si>
  <si>
    <t>Canterbury</t>
  </si>
  <si>
    <t xml:space="preserve">Cherwell </t>
  </si>
  <si>
    <t xml:space="preserve">Chichester </t>
  </si>
  <si>
    <t>Chiltern</t>
  </si>
  <si>
    <t xml:space="preserve">Crawley </t>
  </si>
  <si>
    <t>Dartford</t>
  </si>
  <si>
    <t xml:space="preserve">Dover </t>
  </si>
  <si>
    <t xml:space="preserve">East Hampshire </t>
  </si>
  <si>
    <t>Eastbourne</t>
  </si>
  <si>
    <t xml:space="preserve">Eastleigh </t>
  </si>
  <si>
    <t xml:space="preserve">Elmbridge </t>
  </si>
  <si>
    <t xml:space="preserve">Epsom &amp; Ewell </t>
  </si>
  <si>
    <t>Fareham</t>
  </si>
  <si>
    <t>Gosport</t>
  </si>
  <si>
    <t>Gravesham</t>
  </si>
  <si>
    <t>Guildford</t>
  </si>
  <si>
    <t xml:space="preserve">Hart </t>
  </si>
  <si>
    <t>Hastings</t>
  </si>
  <si>
    <t>Havant</t>
  </si>
  <si>
    <t xml:space="preserve">Horsham </t>
  </si>
  <si>
    <t xml:space="preserve">Isle of Wight </t>
  </si>
  <si>
    <t xml:space="preserve">Lewes </t>
  </si>
  <si>
    <t xml:space="preserve">Maidstone </t>
  </si>
  <si>
    <t xml:space="preserve">Medway </t>
  </si>
  <si>
    <t>Mid Sussex</t>
  </si>
  <si>
    <t>Milton Keynes</t>
  </si>
  <si>
    <t xml:space="preserve">Mole Valley </t>
  </si>
  <si>
    <t xml:space="preserve">New Forest </t>
  </si>
  <si>
    <t>Oxford</t>
  </si>
  <si>
    <t>Portsmouth</t>
  </si>
  <si>
    <t>Reading</t>
  </si>
  <si>
    <t>Reigate and Banstead</t>
  </si>
  <si>
    <t xml:space="preserve">Rother </t>
  </si>
  <si>
    <t>Runnymede</t>
  </si>
  <si>
    <t>Rushmoor</t>
  </si>
  <si>
    <t xml:space="preserve">Sevenoaks </t>
  </si>
  <si>
    <t>Slough</t>
  </si>
  <si>
    <t>South Bucks</t>
  </si>
  <si>
    <t>South Oxfordshire</t>
  </si>
  <si>
    <t>Southampton</t>
  </si>
  <si>
    <t>Spelthorne</t>
  </si>
  <si>
    <t>Surrey Heath</t>
  </si>
  <si>
    <t xml:space="preserve">Swale </t>
  </si>
  <si>
    <t xml:space="preserve">Tandridge </t>
  </si>
  <si>
    <t xml:space="preserve">Test Valley </t>
  </si>
  <si>
    <t>Thanet</t>
  </si>
  <si>
    <t>Tonbridge and Malling</t>
  </si>
  <si>
    <t xml:space="preserve">Tunbridge Wells </t>
  </si>
  <si>
    <t>Vale of White Horse</t>
  </si>
  <si>
    <t xml:space="preserve">Waverley </t>
  </si>
  <si>
    <t>Wealden</t>
  </si>
  <si>
    <t>West Berkshire</t>
  </si>
  <si>
    <t>West Oxfordshire</t>
  </si>
  <si>
    <t>Winchester City</t>
  </si>
  <si>
    <t>Windsor &amp; Maidenhead</t>
  </si>
  <si>
    <t>Woking Borough</t>
  </si>
  <si>
    <t>Wokingham</t>
  </si>
  <si>
    <t>Worthing</t>
  </si>
  <si>
    <t xml:space="preserve">Wycombe </t>
  </si>
  <si>
    <t>South West</t>
  </si>
  <si>
    <t>Bath &amp; North East Somerset</t>
  </si>
  <si>
    <t xml:space="preserve">Bournemouth, Christchurch and Poole </t>
  </si>
  <si>
    <t xml:space="preserve">Bristol </t>
  </si>
  <si>
    <t>Cheltenham</t>
  </si>
  <si>
    <t>Cornwall</t>
  </si>
  <si>
    <t>Dorset</t>
  </si>
  <si>
    <t xml:space="preserve">Cotswold </t>
  </si>
  <si>
    <t>East Devon</t>
  </si>
  <si>
    <t>Exeter</t>
  </si>
  <si>
    <t>Forest of Dean</t>
  </si>
  <si>
    <t>Gibraltar</t>
  </si>
  <si>
    <t xml:space="preserve">Gloucester </t>
  </si>
  <si>
    <t>Isles of Scilly</t>
  </si>
  <si>
    <t xml:space="preserve">Mendip </t>
  </si>
  <si>
    <t xml:space="preserve">Mid Devon </t>
  </si>
  <si>
    <t xml:space="preserve">North Devon </t>
  </si>
  <si>
    <t>North Somerset</t>
  </si>
  <si>
    <t>Plymouth</t>
  </si>
  <si>
    <t>Sedgemoor</t>
  </si>
  <si>
    <t>Somerset West and Taunton</t>
  </si>
  <si>
    <t>South Gloucestershire</t>
  </si>
  <si>
    <t>South Hams</t>
  </si>
  <si>
    <t xml:space="preserve">South Somerset </t>
  </si>
  <si>
    <t xml:space="preserve">Stroud </t>
  </si>
  <si>
    <t xml:space="preserve">Swindon </t>
  </si>
  <si>
    <t xml:space="preserve">Teignbridge </t>
  </si>
  <si>
    <t xml:space="preserve">Tewkesbury </t>
  </si>
  <si>
    <t xml:space="preserve">Torbay </t>
  </si>
  <si>
    <t xml:space="preserve">Torridge </t>
  </si>
  <si>
    <t xml:space="preserve">West Devon </t>
  </si>
  <si>
    <t>Wiltshire</t>
  </si>
  <si>
    <t>Wales</t>
  </si>
  <si>
    <t>Blaenau Gwent</t>
  </si>
  <si>
    <t>Bridgend</t>
  </si>
  <si>
    <t>Caerphilly</t>
  </si>
  <si>
    <t>Cardiff</t>
  </si>
  <si>
    <t>Carmarthenshire</t>
  </si>
  <si>
    <t>Ceredigion</t>
  </si>
  <si>
    <t>Conwy</t>
  </si>
  <si>
    <t>Denbighshire</t>
  </si>
  <si>
    <t>Flintshire</t>
  </si>
  <si>
    <t>Gwynedd</t>
  </si>
  <si>
    <t>Merthyr Tydfil</t>
  </si>
  <si>
    <t>Monmouthshire</t>
  </si>
  <si>
    <t>Neath &amp; Port Talbot</t>
  </si>
  <si>
    <t>Newport</t>
  </si>
  <si>
    <t>Pembrokeshire</t>
  </si>
  <si>
    <t>Powys</t>
  </si>
  <si>
    <t>Rhondda/Cynon/Taff</t>
  </si>
  <si>
    <t>Swansea</t>
  </si>
  <si>
    <t>Torfaen</t>
  </si>
  <si>
    <t>Vale of Glamorgan</t>
  </si>
  <si>
    <t>Wrexham</t>
  </si>
  <si>
    <t>Ynys Mon</t>
  </si>
  <si>
    <t>Scotland</t>
  </si>
  <si>
    <t>Aberdeen City</t>
  </si>
  <si>
    <t>Aberdeenshire</t>
  </si>
  <si>
    <t>Angus</t>
  </si>
  <si>
    <t>Argyll &amp; Bute</t>
  </si>
  <si>
    <t>Clackmannanshire</t>
  </si>
  <si>
    <t>Comhairle Nan Eilean Siar</t>
  </si>
  <si>
    <t>Dumfries &amp; Galloway</t>
  </si>
  <si>
    <t>Dundee City</t>
  </si>
  <si>
    <t>East Ayrshire</t>
  </si>
  <si>
    <t>East Dunbartonshire</t>
  </si>
  <si>
    <t>East Lothian</t>
  </si>
  <si>
    <t>East Renfrewshire</t>
  </si>
  <si>
    <t>City Of Edinburgh</t>
  </si>
  <si>
    <t>Falkirk</t>
  </si>
  <si>
    <t>Fife</t>
  </si>
  <si>
    <t>City Of Glasgow</t>
  </si>
  <si>
    <t>Highland</t>
  </si>
  <si>
    <t>Inverclyde</t>
  </si>
  <si>
    <t>Midlothian</t>
  </si>
  <si>
    <t>Moray</t>
  </si>
  <si>
    <t>North Ayrshire</t>
  </si>
  <si>
    <t>North Lanarkshire</t>
  </si>
  <si>
    <t>Orkney Islands</t>
  </si>
  <si>
    <t>Perth &amp; Kinross</t>
  </si>
  <si>
    <t>Renfrewshire</t>
  </si>
  <si>
    <t>Scottish Borders</t>
  </si>
  <si>
    <t>Shetland Islands</t>
  </si>
  <si>
    <t>South Ayrshire</t>
  </si>
  <si>
    <t>South Lanarkshire</t>
  </si>
  <si>
    <t>Stirling</t>
  </si>
  <si>
    <t>West Dunbartonshire</t>
  </si>
  <si>
    <t>West Lothian</t>
  </si>
  <si>
    <t>Brexit</t>
  </si>
  <si>
    <t>LibDem</t>
  </si>
  <si>
    <t>Total votes</t>
  </si>
  <si>
    <t>Region</t>
  </si>
  <si>
    <t>la_name</t>
  </si>
  <si>
    <t>la_code</t>
  </si>
  <si>
    <t>E07000112</t>
  </si>
  <si>
    <t>S12000033</t>
  </si>
  <si>
    <t>S12000034</t>
  </si>
  <si>
    <t>E07000223</t>
  </si>
  <si>
    <t>E07000026</t>
  </si>
  <si>
    <t>E07000032</t>
  </si>
  <si>
    <t>S12000041</t>
  </si>
  <si>
    <t>S12000035</t>
  </si>
  <si>
    <t>E07000224</t>
  </si>
  <si>
    <t>E07000170</t>
  </si>
  <si>
    <t>E07000105</t>
  </si>
  <si>
    <t>E07000004</t>
  </si>
  <si>
    <t>E07000200</t>
  </si>
  <si>
    <t>E09000002</t>
  </si>
  <si>
    <t>E09000003</t>
  </si>
  <si>
    <t>E08000016</t>
  </si>
  <si>
    <t>E07000027</t>
  </si>
  <si>
    <t>E07000066</t>
  </si>
  <si>
    <t>E07000084</t>
  </si>
  <si>
    <t>E07000171</t>
  </si>
  <si>
    <t>E06000022</t>
  </si>
  <si>
    <t>E06000055</t>
  </si>
  <si>
    <t>E09000004</t>
  </si>
  <si>
    <t>E08000025</t>
  </si>
  <si>
    <t>E07000129</t>
  </si>
  <si>
    <t>E06000008</t>
  </si>
  <si>
    <t>E06000009</t>
  </si>
  <si>
    <t>W06000019</t>
  </si>
  <si>
    <t>E07000033</t>
  </si>
  <si>
    <t>E08000001</t>
  </si>
  <si>
    <t>E07000136</t>
  </si>
  <si>
    <t>E06000058</t>
  </si>
  <si>
    <t>E06000036</t>
  </si>
  <si>
    <t>E08000032</t>
  </si>
  <si>
    <t>E07000067</t>
  </si>
  <si>
    <t>E07000143</t>
  </si>
  <si>
    <t>E09000005</t>
  </si>
  <si>
    <t>E07000068</t>
  </si>
  <si>
    <t>W06000013</t>
  </si>
  <si>
    <t>E06000043</t>
  </si>
  <si>
    <t>E06000023</t>
  </si>
  <si>
    <t>E07000144</t>
  </si>
  <si>
    <t>E09000006</t>
  </si>
  <si>
    <t>E07000234</t>
  </si>
  <si>
    <t>E07000095</t>
  </si>
  <si>
    <t>E07000172</t>
  </si>
  <si>
    <t>E07000117</t>
  </si>
  <si>
    <t>E08000002</t>
  </si>
  <si>
    <t>W06000018</t>
  </si>
  <si>
    <t>E08000033</t>
  </si>
  <si>
    <t>E07000008</t>
  </si>
  <si>
    <t>E09000007</t>
  </si>
  <si>
    <t>E07000192</t>
  </si>
  <si>
    <t>E07000106</t>
  </si>
  <si>
    <t>W06000015</t>
  </si>
  <si>
    <t>E07000028</t>
  </si>
  <si>
    <t>W06000010</t>
  </si>
  <si>
    <t>E07000069</t>
  </si>
  <si>
    <t>E06000056</t>
  </si>
  <si>
    <t>W06000008</t>
  </si>
  <si>
    <t>E07000130</t>
  </si>
  <si>
    <t>E07000070</t>
  </si>
  <si>
    <t>E07000078</t>
  </si>
  <si>
    <t>E07000177</t>
  </si>
  <si>
    <t>E06000049</t>
  </si>
  <si>
    <t>E06000050</t>
  </si>
  <si>
    <t>E07000034</t>
  </si>
  <si>
    <t>E07000225</t>
  </si>
  <si>
    <t>E07000005</t>
  </si>
  <si>
    <t>E07000118</t>
  </si>
  <si>
    <t>S12000036</t>
  </si>
  <si>
    <t>S12000049</t>
  </si>
  <si>
    <t>E09000001</t>
  </si>
  <si>
    <t>S12000005</t>
  </si>
  <si>
    <t>E07000071</t>
  </si>
  <si>
    <t>S12000013</t>
  </si>
  <si>
    <t>W06000003</t>
  </si>
  <si>
    <t>E07000029</t>
  </si>
  <si>
    <t>E07000150</t>
  </si>
  <si>
    <t>E06000052</t>
  </si>
  <si>
    <t>E07000079</t>
  </si>
  <si>
    <t>E08000026</t>
  </si>
  <si>
    <t>E07000163</t>
  </si>
  <si>
    <t>E07000226</t>
  </si>
  <si>
    <t>E09000008</t>
  </si>
  <si>
    <t>E07000096</t>
  </si>
  <si>
    <t>E06000005</t>
  </si>
  <si>
    <t>E07000107</t>
  </si>
  <si>
    <t>E07000151</t>
  </si>
  <si>
    <t>W06000004</t>
  </si>
  <si>
    <t>E06000015</t>
  </si>
  <si>
    <t>E07000035</t>
  </si>
  <si>
    <t>E08000017</t>
  </si>
  <si>
    <t>E06000059</t>
  </si>
  <si>
    <t>E07000108</t>
  </si>
  <si>
    <t>E08000027</t>
  </si>
  <si>
    <t>S12000006</t>
  </si>
  <si>
    <t>S12000042</t>
  </si>
  <si>
    <t>E06000047</t>
  </si>
  <si>
    <t>E09000009</t>
  </si>
  <si>
    <t>S12000008</t>
  </si>
  <si>
    <t>E07000009</t>
  </si>
  <si>
    <t>E07000040</t>
  </si>
  <si>
    <t>S12000045</t>
  </si>
  <si>
    <t>E07000085</t>
  </si>
  <si>
    <t>E07000242</t>
  </si>
  <si>
    <t>E07000137</t>
  </si>
  <si>
    <t>S12000010</t>
  </si>
  <si>
    <t>E07000152</t>
  </si>
  <si>
    <t>S12000011</t>
  </si>
  <si>
    <t>E06000011</t>
  </si>
  <si>
    <t>E07000193</t>
  </si>
  <si>
    <t>E07000244</t>
  </si>
  <si>
    <t>E07000061</t>
  </si>
  <si>
    <t>E07000086</t>
  </si>
  <si>
    <t>E07000030</t>
  </si>
  <si>
    <t>E07000207</t>
  </si>
  <si>
    <t>E09000010</t>
  </si>
  <si>
    <t>E07000072</t>
  </si>
  <si>
    <t>E07000208</t>
  </si>
  <si>
    <t>E07000036</t>
  </si>
  <si>
    <t>E07000041</t>
  </si>
  <si>
    <t>S12000014</t>
  </si>
  <si>
    <t>E07000087</t>
  </si>
  <si>
    <t>E07000010</t>
  </si>
  <si>
    <t>S12000047</t>
  </si>
  <si>
    <t>W06000005</t>
  </si>
  <si>
    <t>E07000080</t>
  </si>
  <si>
    <t>E07000119</t>
  </si>
  <si>
    <t>E08000037</t>
  </si>
  <si>
    <t>E07000173</t>
  </si>
  <si>
    <t>E07000081</t>
  </si>
  <si>
    <t>E07000088</t>
  </si>
  <si>
    <t>E07000109</t>
  </si>
  <si>
    <t>E07000145</t>
  </si>
  <si>
    <t>E09000011</t>
  </si>
  <si>
    <t>E07000209</t>
  </si>
  <si>
    <t>W06000002</t>
  </si>
  <si>
    <t>E09000012</t>
  </si>
  <si>
    <t>E06000006</t>
  </si>
  <si>
    <t>E07000164</t>
  </si>
  <si>
    <t>E09000013</t>
  </si>
  <si>
    <t>E07000131</t>
  </si>
  <si>
    <t>E09000014</t>
  </si>
  <si>
    <t>E07000073</t>
  </si>
  <si>
    <t>E07000165</t>
  </si>
  <si>
    <t>E09000015</t>
  </si>
  <si>
    <t>E07000089</t>
  </si>
  <si>
    <t>E06000001</t>
  </si>
  <si>
    <t>E07000062</t>
  </si>
  <si>
    <t>E07000090</t>
  </si>
  <si>
    <t>E09000016</t>
  </si>
  <si>
    <t>E06000019</t>
  </si>
  <si>
    <t>E07000098</t>
  </si>
  <si>
    <t>E07000037</t>
  </si>
  <si>
    <t>S12000017</t>
  </si>
  <si>
    <t>E09000017</t>
  </si>
  <si>
    <t>E07000132</t>
  </si>
  <si>
    <t>E07000227</t>
  </si>
  <si>
    <t>E09000018</t>
  </si>
  <si>
    <t>E07000011</t>
  </si>
  <si>
    <t>E07000120</t>
  </si>
  <si>
    <t>S12000018</t>
  </si>
  <si>
    <t>E07000202</t>
  </si>
  <si>
    <t>E06000046</t>
  </si>
  <si>
    <t>E06000053</t>
  </si>
  <si>
    <t>E09000019</t>
  </si>
  <si>
    <t>E09000020</t>
  </si>
  <si>
    <t>E07000153</t>
  </si>
  <si>
    <t>E07000146</t>
  </si>
  <si>
    <t>E06000010</t>
  </si>
  <si>
    <t>E09000021</t>
  </si>
  <si>
    <t>E08000034</t>
  </si>
  <si>
    <t>E08000011</t>
  </si>
  <si>
    <t>E09000022</t>
  </si>
  <si>
    <t>E07000121</t>
  </si>
  <si>
    <t>E08000035</t>
  </si>
  <si>
    <t>E06000016</t>
  </si>
  <si>
    <t>E07000063</t>
  </si>
  <si>
    <t>E09000023</t>
  </si>
  <si>
    <t>E07000194</t>
  </si>
  <si>
    <t>E07000138</t>
  </si>
  <si>
    <t>E08000012</t>
  </si>
  <si>
    <t>E06000032</t>
  </si>
  <si>
    <t>E07000110</t>
  </si>
  <si>
    <t>E07000074</t>
  </si>
  <si>
    <t>E07000235</t>
  </si>
  <si>
    <t>E08000003</t>
  </si>
  <si>
    <t>E07000174</t>
  </si>
  <si>
    <t>E06000035</t>
  </si>
  <si>
    <t>E07000133</t>
  </si>
  <si>
    <t>E07000187</t>
  </si>
  <si>
    <t>W06000024</t>
  </si>
  <si>
    <t>E09000024</t>
  </si>
  <si>
    <t>E07000042</t>
  </si>
  <si>
    <t>E07000203</t>
  </si>
  <si>
    <t>E07000228</t>
  </si>
  <si>
    <t>E06000002</t>
  </si>
  <si>
    <t>S12000019</t>
  </si>
  <si>
    <t>E06000042</t>
  </si>
  <si>
    <t>E07000210</t>
  </si>
  <si>
    <t>W06000021</t>
  </si>
  <si>
    <t>S12000020</t>
  </si>
  <si>
    <t>W06000012</t>
  </si>
  <si>
    <t>E07000091</t>
  </si>
  <si>
    <t>E07000175</t>
  </si>
  <si>
    <t>E08000021</t>
  </si>
  <si>
    <t>E07000195</t>
  </si>
  <si>
    <t>E09000025</t>
  </si>
  <si>
    <t>W06000022</t>
  </si>
  <si>
    <t>S12000021</t>
  </si>
  <si>
    <t>E07000043</t>
  </si>
  <si>
    <t>E07000038</t>
  </si>
  <si>
    <t>E06000012</t>
  </si>
  <si>
    <t>E07000099</t>
  </si>
  <si>
    <t>E07000139</t>
  </si>
  <si>
    <t>S12000050</t>
  </si>
  <si>
    <t>E06000013</t>
  </si>
  <si>
    <t>E07000147</t>
  </si>
  <si>
    <t>E06000024</t>
  </si>
  <si>
    <t>E08000022</t>
  </si>
  <si>
    <t>E07000218</t>
  </si>
  <si>
    <t>E07000134</t>
  </si>
  <si>
    <t>E07000154</t>
  </si>
  <si>
    <t>E06000057</t>
  </si>
  <si>
    <t>E07000148</t>
  </si>
  <si>
    <t>E06000018</t>
  </si>
  <si>
    <t>E07000219</t>
  </si>
  <si>
    <t>E07000135</t>
  </si>
  <si>
    <t>E08000004</t>
  </si>
  <si>
    <t>S12000023</t>
  </si>
  <si>
    <t>E07000178</t>
  </si>
  <si>
    <t>W06000009</t>
  </si>
  <si>
    <t>E07000122</t>
  </si>
  <si>
    <t>S12000048</t>
  </si>
  <si>
    <t>E06000031</t>
  </si>
  <si>
    <t>E06000026</t>
  </si>
  <si>
    <t>E06000044</t>
  </si>
  <si>
    <t>W06000023</t>
  </si>
  <si>
    <t>E07000123</t>
  </si>
  <si>
    <t>E06000038</t>
  </si>
  <si>
    <t>E09000026</t>
  </si>
  <si>
    <t>E06000003</t>
  </si>
  <si>
    <t>E07000236</t>
  </si>
  <si>
    <t>E07000211</t>
  </si>
  <si>
    <t>S12000038</t>
  </si>
  <si>
    <t>W06000016</t>
  </si>
  <si>
    <t>E07000124</t>
  </si>
  <si>
    <t>E09000027</t>
  </si>
  <si>
    <t>E07000166</t>
  </si>
  <si>
    <t>E08000005</t>
  </si>
  <si>
    <t>E07000075</t>
  </si>
  <si>
    <t>E07000125</t>
  </si>
  <si>
    <t>E07000064</t>
  </si>
  <si>
    <t>E08000018</t>
  </si>
  <si>
    <t>E07000220</t>
  </si>
  <si>
    <t>E07000212</t>
  </si>
  <si>
    <t>E07000176</t>
  </si>
  <si>
    <t>E07000092</t>
  </si>
  <si>
    <t>E06000017</t>
  </si>
  <si>
    <t>E07000167</t>
  </si>
  <si>
    <t>E08000006</t>
  </si>
  <si>
    <t>E08000028</t>
  </si>
  <si>
    <t>E07000168</t>
  </si>
  <si>
    <t>S12000026</t>
  </si>
  <si>
    <t>E07000188</t>
  </si>
  <si>
    <t>E08000014</t>
  </si>
  <si>
    <t>E07000169</t>
  </si>
  <si>
    <t>E07000111</t>
  </si>
  <si>
    <t>E08000019</t>
  </si>
  <si>
    <t>S12000027</t>
  </si>
  <si>
    <t>E06000051</t>
  </si>
  <si>
    <t>E06000039</t>
  </si>
  <si>
    <t>E08000029</t>
  </si>
  <si>
    <t>E07000246</t>
  </si>
  <si>
    <t>S12000028</t>
  </si>
  <si>
    <t>E07000006</t>
  </si>
  <si>
    <t>E07000012</t>
  </si>
  <si>
    <t>E07000039</t>
  </si>
  <si>
    <t>E06000025</t>
  </si>
  <si>
    <t>E07000044</t>
  </si>
  <si>
    <t>E07000140</t>
  </si>
  <si>
    <t>E07000141</t>
  </si>
  <si>
    <t>E07000031</t>
  </si>
  <si>
    <t>S12000029</t>
  </si>
  <si>
    <t>E07000149</t>
  </si>
  <si>
    <t>E07000155</t>
  </si>
  <si>
    <t>E07000179</t>
  </si>
  <si>
    <t>E07000126</t>
  </si>
  <si>
    <t>E07000189</t>
  </si>
  <si>
    <t>E07000196</t>
  </si>
  <si>
    <t>E08000023</t>
  </si>
  <si>
    <t>E06000045</t>
  </si>
  <si>
    <t>E06000033</t>
  </si>
  <si>
    <t>E09000028</t>
  </si>
  <si>
    <t>E07000213</t>
  </si>
  <si>
    <t>E07000240</t>
  </si>
  <si>
    <t>E08000013</t>
  </si>
  <si>
    <t>E07000197</t>
  </si>
  <si>
    <t>E07000198</t>
  </si>
  <si>
    <t>E07000243</t>
  </si>
  <si>
    <t>S12000030</t>
  </si>
  <si>
    <t>E08000007</t>
  </si>
  <si>
    <t>E06000004</t>
  </si>
  <si>
    <t>E06000021</t>
  </si>
  <si>
    <t>E07000221</t>
  </si>
  <si>
    <t>E07000082</t>
  </si>
  <si>
    <t>E08000024</t>
  </si>
  <si>
    <t>E07000214</t>
  </si>
  <si>
    <t>E09000029</t>
  </si>
  <si>
    <t>E07000113</t>
  </si>
  <si>
    <t>W06000011</t>
  </si>
  <si>
    <t>E06000030</t>
  </si>
  <si>
    <t>E08000008</t>
  </si>
  <si>
    <t>E07000199</t>
  </si>
  <si>
    <t>E07000215</t>
  </si>
  <si>
    <t>E07000045</t>
  </si>
  <si>
    <t>E06000020</t>
  </si>
  <si>
    <t>E07000076</t>
  </si>
  <si>
    <t>E07000093</t>
  </si>
  <si>
    <t>E07000083</t>
  </si>
  <si>
    <t>E07000114</t>
  </si>
  <si>
    <t>E07000102</t>
  </si>
  <si>
    <t>E06000034</t>
  </si>
  <si>
    <t>E07000115</t>
  </si>
  <si>
    <t>E06000027</t>
  </si>
  <si>
    <t>W06000020</t>
  </si>
  <si>
    <t>E07000046</t>
  </si>
  <si>
    <t>E09000030</t>
  </si>
  <si>
    <t>E08000009</t>
  </si>
  <si>
    <t>E07000116</t>
  </si>
  <si>
    <t>E07000077</t>
  </si>
  <si>
    <t>W06000014</t>
  </si>
  <si>
    <t>E07000180</t>
  </si>
  <si>
    <t>E08000036</t>
  </si>
  <si>
    <t>E08000030</t>
  </si>
  <si>
    <t>E09000031</t>
  </si>
  <si>
    <t>E09000032</t>
  </si>
  <si>
    <t>E06000007</t>
  </si>
  <si>
    <t>E07000222</t>
  </si>
  <si>
    <t>E07000103</t>
  </si>
  <si>
    <t>E07000216</t>
  </si>
  <si>
    <t>E07000065</t>
  </si>
  <si>
    <t>E07000156</t>
  </si>
  <si>
    <t>E07000241</t>
  </si>
  <si>
    <t>E06000037</t>
  </si>
  <si>
    <t>E07000047</t>
  </si>
  <si>
    <t>S12000039</t>
  </si>
  <si>
    <t>E07000127</t>
  </si>
  <si>
    <t>E07000142</t>
  </si>
  <si>
    <t>S12000040</t>
  </si>
  <si>
    <t>E07000181</t>
  </si>
  <si>
    <t>E07000245</t>
  </si>
  <si>
    <t>E09000033</t>
  </si>
  <si>
    <t>E08000010</t>
  </si>
  <si>
    <t>E06000054</t>
  </si>
  <si>
    <t>E07000094</t>
  </si>
  <si>
    <t>E06000040</t>
  </si>
  <si>
    <t>E08000015</t>
  </si>
  <si>
    <t>E07000217</t>
  </si>
  <si>
    <t>E06000041</t>
  </si>
  <si>
    <t>E08000031</t>
  </si>
  <si>
    <t>E07000237</t>
  </si>
  <si>
    <t>E07000229</t>
  </si>
  <si>
    <t>W06000006</t>
  </si>
  <si>
    <t>E07000238</t>
  </si>
  <si>
    <t>E07000007</t>
  </si>
  <si>
    <t>E07000128</t>
  </si>
  <si>
    <t>E07000239</t>
  </si>
  <si>
    <t>W06000001</t>
  </si>
  <si>
    <t>E06000014</t>
  </si>
  <si>
    <t>Folkestone and Hythe</t>
  </si>
  <si>
    <t>round</t>
  </si>
  <si>
    <t>name</t>
  </si>
  <si>
    <t>Party</t>
  </si>
  <si>
    <t>region</t>
  </si>
  <si>
    <t>gender</t>
  </si>
  <si>
    <t>Alexandra Phillips</t>
  </si>
  <si>
    <t>brexit</t>
  </si>
  <si>
    <t>SE</t>
  </si>
  <si>
    <t>Female</t>
  </si>
  <si>
    <t>Andrew Kerr</t>
  </si>
  <si>
    <t>WM</t>
  </si>
  <si>
    <t>Male</t>
  </si>
  <si>
    <t>Jude Kirton-Darling</t>
  </si>
  <si>
    <t>labour</t>
  </si>
  <si>
    <t>NE</t>
  </si>
  <si>
    <t>Ann Widdecombe</t>
  </si>
  <si>
    <t>SW</t>
  </si>
  <si>
    <t>Theresa Griffin</t>
  </si>
  <si>
    <t>NW</t>
  </si>
  <si>
    <t>Chris Davies</t>
  </si>
  <si>
    <t>ld</t>
  </si>
  <si>
    <t>Annunziata Rees-Mogg</t>
  </si>
  <si>
    <t>EM</t>
  </si>
  <si>
    <t>Gina Dowding</t>
  </si>
  <si>
    <t>green</t>
  </si>
  <si>
    <t>Julie Ward</t>
  </si>
  <si>
    <t>Belinda De Camborne Lucy</t>
  </si>
  <si>
    <t>Jane Brophy</t>
  </si>
  <si>
    <t>Benyamin Habib</t>
  </si>
  <si>
    <t>L</t>
  </si>
  <si>
    <t>Brian Monteith</t>
  </si>
  <si>
    <t>Richard Corbett</t>
  </si>
  <si>
    <t>Y&amp;H</t>
  </si>
  <si>
    <t>Shaffaq Mohammed</t>
  </si>
  <si>
    <t>Magid Magid</t>
  </si>
  <si>
    <t>Christina Jordan</t>
  </si>
  <si>
    <t>Claire Fox</t>
  </si>
  <si>
    <t>David Bull</t>
  </si>
  <si>
    <t xml:space="preserve">William Dunn </t>
  </si>
  <si>
    <t>Rory Palmer</t>
  </si>
  <si>
    <t>Henrik Nielsen</t>
  </si>
  <si>
    <t>Jake Pugh</t>
  </si>
  <si>
    <t>James Glancy</t>
  </si>
  <si>
    <t>Neena Gill</t>
  </si>
  <si>
    <t>Phil Bennion</t>
  </si>
  <si>
    <t>James Wells</t>
  </si>
  <si>
    <t>W</t>
  </si>
  <si>
    <t>Ellie Chowns</t>
  </si>
  <si>
    <t>Anthea McIntyre</t>
  </si>
  <si>
    <t>con</t>
  </si>
  <si>
    <t>John Longworth</t>
  </si>
  <si>
    <t>Barbara Gibson</t>
  </si>
  <si>
    <t>E</t>
  </si>
  <si>
    <t>John Tennant</t>
  </si>
  <si>
    <t>Catherine Rowett</t>
  </si>
  <si>
    <t>Jonathan Bullock</t>
  </si>
  <si>
    <t>Lucy Nethsingha</t>
  </si>
  <si>
    <t>Geoffrey Van Orden</t>
  </si>
  <si>
    <t>Irina Von Wiese</t>
  </si>
  <si>
    <t>Claude Moraes</t>
  </si>
  <si>
    <t>June Mummery</t>
  </si>
  <si>
    <t>Dinesh Dhamija</t>
  </si>
  <si>
    <t>Scott Ainslie</t>
  </si>
  <si>
    <t>Seb Dance</t>
  </si>
  <si>
    <t>Luisa Porritt</t>
  </si>
  <si>
    <t>Lance Philip Forman</t>
  </si>
  <si>
    <t>Louis Stedman-Bryce</t>
  </si>
  <si>
    <t>S</t>
  </si>
  <si>
    <t>Catherine Bearder</t>
  </si>
  <si>
    <t>Lucy Harris</t>
  </si>
  <si>
    <t>Antony Hook</t>
  </si>
  <si>
    <t>Martin Daubney</t>
  </si>
  <si>
    <t>Daniel Hannan</t>
  </si>
  <si>
    <t>Matthew Patten</t>
  </si>
  <si>
    <t>Judith Bunting</t>
  </si>
  <si>
    <t xml:space="preserve">John Howarth </t>
  </si>
  <si>
    <t>Michael Heaver</t>
  </si>
  <si>
    <t>Caroline Voaden</t>
  </si>
  <si>
    <t>Nathan Gill</t>
  </si>
  <si>
    <t>Molly Scott Cato</t>
  </si>
  <si>
    <t>Nigel Farage</t>
  </si>
  <si>
    <t>Martin Horwood</t>
  </si>
  <si>
    <t>Richard Tice</t>
  </si>
  <si>
    <t>Jill Evans</t>
  </si>
  <si>
    <t>pc</t>
  </si>
  <si>
    <t>Robert Rowland</t>
  </si>
  <si>
    <t>Jacqueline Jones</t>
  </si>
  <si>
    <t>Alyn Smith</t>
  </si>
  <si>
    <t>snp</t>
  </si>
  <si>
    <t>Christian Allard</t>
  </si>
  <si>
    <t>Rupert Lowe</t>
  </si>
  <si>
    <t>Sheila Ritchie</t>
  </si>
  <si>
    <t>Aileen McLeod</t>
  </si>
  <si>
    <t>Nosheena Mobarik</t>
  </si>
  <si>
    <t>Martina Anderson</t>
  </si>
  <si>
    <t>sf</t>
  </si>
  <si>
    <t>NI</t>
  </si>
  <si>
    <t>Naomi Long</t>
  </si>
  <si>
    <t>alliance</t>
  </si>
  <si>
    <t>Diane Dodds</t>
  </si>
  <si>
    <t>dup</t>
  </si>
  <si>
    <t>MEP directly before</t>
  </si>
  <si>
    <t xml:space="preserve">n 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</si>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</sst>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Foundry Form Sans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77">
    <xf numFmtId="0" fontId="0" fillId="0" borderId="0" xfId="0"/>
    <xf numFmtId="0" fontId="4" fillId="0" borderId="0" xfId="0" applyFont="1" applyAlignment="1"/>
    <xf numFmtId="164" fontId="4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0" fontId="4" fillId="0" borderId="0" xfId="0" applyFont="1" applyFill="1" applyAlignment="1"/>
    <xf numFmtId="0" fontId="4" fillId="0" borderId="0" xfId="0" applyFont="1" applyBorder="1" applyAlignment="1"/>
    <xf numFmtId="3" fontId="4" fillId="0" borderId="0" xfId="0" applyNumberFormat="1" applyFont="1" applyAlignment="1"/>
    <xf numFmtId="3" fontId="4" fillId="0" borderId="0" xfId="1" applyNumberFormat="1" applyFont="1" applyAlignment="1">
      <alignment horizontal="right"/>
    </xf>
    <xf numFmtId="164" fontId="4" fillId="0" borderId="0" xfId="0" applyNumberFormat="1" applyFont="1" applyFill="1" applyAlignment="1">
      <alignment horizontal="right"/>
    </xf>
    <xf numFmtId="3" fontId="4" fillId="0" borderId="0" xfId="0" applyNumberFormat="1" applyFont="1" applyFill="1" applyAlignment="1">
      <alignment horizontal="right"/>
    </xf>
    <xf numFmtId="0" fontId="3" fillId="0" borderId="0" xfId="0" applyFont="1" applyAlignment="1"/>
    <xf numFmtId="164" fontId="4" fillId="0" borderId="0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3" fontId="5" fillId="0" borderId="0" xfId="0" applyNumberFormat="1" applyFont="1" applyFill="1" applyBorder="1" applyAlignment="1">
      <alignment horizontal="right"/>
    </xf>
    <xf numFmtId="3" fontId="5" fillId="0" borderId="0" xfId="0" applyNumberFormat="1" applyFont="1" applyFill="1" applyBorder="1" applyAlignment="1">
      <alignment horizontal="right" vertical="center"/>
    </xf>
    <xf numFmtId="164" fontId="5" fillId="0" borderId="0" xfId="0" applyNumberFormat="1" applyFont="1" applyFill="1" applyBorder="1" applyAlignment="1">
      <alignment horizontal="right" vertical="center"/>
    </xf>
    <xf numFmtId="164" fontId="5" fillId="0" borderId="0" xfId="0" applyNumberFormat="1" applyFont="1" applyAlignment="1">
      <alignment horizontal="right"/>
    </xf>
    <xf numFmtId="0" fontId="5" fillId="0" borderId="0" xfId="0" applyFont="1" applyFill="1" applyBorder="1" applyAlignment="1">
      <alignment horizontal="left" vertical="center"/>
    </xf>
    <xf numFmtId="164" fontId="5" fillId="0" borderId="0" xfId="0" applyNumberFormat="1" applyFont="1" applyBorder="1" applyAlignment="1" applyProtection="1">
      <alignment horizontal="right"/>
      <protection locked="0"/>
    </xf>
    <xf numFmtId="164" fontId="5" fillId="0" borderId="0" xfId="0" applyNumberFormat="1" applyFont="1" applyBorder="1" applyAlignment="1" applyProtection="1">
      <alignment horizontal="right"/>
    </xf>
    <xf numFmtId="0" fontId="4" fillId="0" borderId="0" xfId="0" applyFont="1" applyAlignment="1">
      <alignment horizontal="left"/>
    </xf>
    <xf numFmtId="3" fontId="4" fillId="0" borderId="0" xfId="0" applyNumberFormat="1" applyFont="1" applyAlignment="1">
      <alignment horizontal="right" vertical="top"/>
    </xf>
    <xf numFmtId="0" fontId="4" fillId="0" borderId="0" xfId="0" applyFont="1" applyBorder="1" applyAlignment="1">
      <alignment horizontal="left" vertical="top"/>
    </xf>
    <xf numFmtId="164" fontId="4" fillId="0" borderId="0" xfId="1" applyNumberFormat="1" applyFont="1" applyAlignment="1">
      <alignment horizontal="right"/>
    </xf>
    <xf numFmtId="3" fontId="4" fillId="0" borderId="0" xfId="0" applyNumberFormat="1" applyFont="1" applyBorder="1" applyAlignment="1">
      <alignment horizontal="right" vertical="top"/>
    </xf>
    <xf numFmtId="3" fontId="4" fillId="0" borderId="0" xfId="0" applyNumberFormat="1" applyFont="1" applyFill="1" applyBorder="1" applyAlignment="1">
      <alignment horizontal="right" vertical="top"/>
    </xf>
    <xf numFmtId="0" fontId="4" fillId="0" borderId="0" xfId="0" applyFont="1" applyAlignment="1">
      <alignment horizontal="left" vertical="center"/>
    </xf>
    <xf numFmtId="3" fontId="4" fillId="0" borderId="0" xfId="0" applyNumberFormat="1" applyFont="1" applyAlignment="1">
      <alignment horizontal="right" vertical="center"/>
    </xf>
    <xf numFmtId="0" fontId="4" fillId="0" borderId="0" xfId="0" applyFont="1" applyFill="1" applyAlignment="1">
      <alignment horizontal="left" vertical="center"/>
    </xf>
    <xf numFmtId="3" fontId="4" fillId="0" borderId="0" xfId="0" applyNumberFormat="1" applyFont="1" applyFill="1" applyAlignment="1">
      <alignment horizontal="right" vertical="center"/>
    </xf>
    <xf numFmtId="0" fontId="4" fillId="0" borderId="0" xfId="0" applyFont="1" applyFill="1" applyBorder="1" applyAlignment="1">
      <alignment vertical="top"/>
    </xf>
    <xf numFmtId="164" fontId="6" fillId="0" borderId="0" xfId="1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0" borderId="0" xfId="1" applyNumberFormat="1" applyFont="1" applyFill="1" applyAlignment="1">
      <alignment horizontal="right"/>
    </xf>
    <xf numFmtId="164" fontId="4" fillId="0" borderId="0" xfId="0" applyNumberFormat="1" applyFont="1" applyFill="1" applyBorder="1" applyAlignment="1">
      <alignment horizontal="right"/>
    </xf>
    <xf numFmtId="164" fontId="4" fillId="0" borderId="0" xfId="1" applyNumberFormat="1" applyFont="1" applyFill="1" applyAlignment="1">
      <alignment horizontal="right"/>
    </xf>
    <xf numFmtId="0" fontId="4" fillId="0" borderId="0" xfId="2" applyFont="1" applyBorder="1" applyAlignment="1"/>
    <xf numFmtId="3" fontId="4" fillId="0" borderId="0" xfId="1" applyNumberFormat="1" applyFont="1" applyFill="1" applyAlignment="1">
      <alignment horizontal="right"/>
    </xf>
    <xf numFmtId="0" fontId="4" fillId="0" borderId="0" xfId="0" applyFont="1" applyBorder="1"/>
    <xf numFmtId="164" fontId="4" fillId="0" borderId="0" xfId="0" applyNumberFormat="1" applyFont="1" applyBorder="1" applyAlignment="1">
      <alignment horizontal="right" wrapText="1"/>
    </xf>
    <xf numFmtId="164" fontId="4" fillId="0" borderId="0" xfId="0" applyNumberFormat="1" applyFont="1" applyFill="1" applyBorder="1" applyAlignment="1">
      <alignment horizontal="right" wrapText="1"/>
    </xf>
    <xf numFmtId="0" fontId="4" fillId="0" borderId="0" xfId="0" applyFont="1" applyFill="1" applyBorder="1" applyAlignment="1">
      <alignment horizontal="left" vertical="center" wrapText="1"/>
    </xf>
    <xf numFmtId="164" fontId="5" fillId="0" borderId="0" xfId="0" applyNumberFormat="1" applyFont="1" applyBorder="1" applyAlignment="1">
      <alignment horizontal="right" wrapText="1"/>
    </xf>
    <xf numFmtId="3" fontId="6" fillId="0" borderId="0" xfId="0" applyNumberFormat="1" applyFont="1" applyFill="1" applyBorder="1" applyAlignment="1">
      <alignment horizontal="right" vertical="center" wrapText="1"/>
    </xf>
    <xf numFmtId="164" fontId="5" fillId="0" borderId="0" xfId="0" applyNumberFormat="1" applyFont="1" applyFill="1" applyBorder="1" applyAlignment="1">
      <alignment horizontal="right" wrapText="1"/>
    </xf>
    <xf numFmtId="3" fontId="6" fillId="0" borderId="0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vertical="center"/>
    </xf>
    <xf numFmtId="164" fontId="6" fillId="0" borderId="0" xfId="0" applyNumberFormat="1" applyFont="1" applyBorder="1" applyAlignment="1">
      <alignment horizontal="right" wrapText="1"/>
    </xf>
    <xf numFmtId="0" fontId="4" fillId="0" borderId="0" xfId="0" applyFont="1" applyFill="1" applyBorder="1" applyAlignment="1">
      <alignment horizontal="left" vertical="top" wrapText="1"/>
    </xf>
    <xf numFmtId="164" fontId="5" fillId="0" borderId="0" xfId="0" applyNumberFormat="1" applyFont="1" applyBorder="1" applyAlignment="1">
      <alignment horizontal="right" vertical="top" wrapText="1"/>
    </xf>
    <xf numFmtId="164" fontId="4" fillId="0" borderId="0" xfId="0" applyNumberFormat="1" applyFont="1" applyAlignment="1">
      <alignment horizontal="right" vertical="top"/>
    </xf>
    <xf numFmtId="3" fontId="6" fillId="0" borderId="0" xfId="0" applyNumberFormat="1" applyFont="1" applyBorder="1" applyAlignment="1">
      <alignment horizontal="right" vertical="center" wrapText="1"/>
    </xf>
    <xf numFmtId="164" fontId="4" fillId="0" borderId="0" xfId="0" applyNumberFormat="1" applyFont="1" applyAlignment="1" applyProtection="1">
      <alignment horizontal="right"/>
      <protection locked="0"/>
    </xf>
    <xf numFmtId="3" fontId="4" fillId="0" borderId="0" xfId="0" applyNumberFormat="1" applyFont="1" applyFill="1" applyBorder="1" applyAlignment="1">
      <alignment horizontal="right"/>
    </xf>
    <xf numFmtId="0" fontId="4" fillId="0" borderId="0" xfId="0" applyFont="1" applyBorder="1" applyAlignment="1">
      <alignment vertical="top"/>
    </xf>
    <xf numFmtId="164" fontId="5" fillId="0" borderId="0" xfId="0" applyNumberFormat="1" applyFont="1" applyFill="1" applyBorder="1" applyAlignment="1" applyProtection="1">
      <alignment horizontal="right"/>
    </xf>
    <xf numFmtId="164" fontId="6" fillId="0" borderId="0" xfId="1" applyNumberFormat="1" applyFont="1" applyBorder="1" applyAlignment="1">
      <alignment horizontal="right" wrapText="1"/>
    </xf>
    <xf numFmtId="3" fontId="6" fillId="0" borderId="0" xfId="0" applyNumberFormat="1" applyFont="1" applyBorder="1" applyAlignment="1">
      <alignment horizontal="right" wrapText="1"/>
    </xf>
    <xf numFmtId="3" fontId="6" fillId="0" borderId="0" xfId="0" applyNumberFormat="1" applyFont="1" applyBorder="1" applyAlignment="1">
      <alignment horizontal="right" vertical="top" wrapText="1"/>
    </xf>
    <xf numFmtId="164" fontId="6" fillId="0" borderId="0" xfId="0" applyNumberFormat="1" applyFont="1" applyBorder="1" applyAlignment="1">
      <alignment horizontal="right" vertical="top" wrapText="1"/>
    </xf>
    <xf numFmtId="164" fontId="4" fillId="0" borderId="0" xfId="0" applyNumberFormat="1" applyFont="1" applyAlignment="1">
      <alignment horizontal="left"/>
    </xf>
    <xf numFmtId="3" fontId="4" fillId="0" borderId="0" xfId="0" applyNumberFormat="1" applyFont="1" applyAlignment="1">
      <alignment horizontal="left"/>
    </xf>
    <xf numFmtId="3" fontId="4" fillId="0" borderId="0" xfId="0" applyNumberFormat="1" applyFont="1" applyBorder="1" applyAlignment="1">
      <alignment horizontal="left"/>
    </xf>
    <xf numFmtId="164" fontId="4" fillId="0" borderId="0" xfId="0" applyNumberFormat="1" applyFont="1" applyBorder="1" applyAlignment="1">
      <alignment horizontal="left"/>
    </xf>
    <xf numFmtId="0" fontId="6" fillId="0" borderId="0" xfId="0" applyFont="1"/>
    <xf numFmtId="0" fontId="3" fillId="0" borderId="0" xfId="0" applyFont="1"/>
    <xf numFmtId="0" fontId="7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7" fillId="0" borderId="0" xfId="0" applyFont="1" applyAlignment="1">
      <alignment vertical="top"/>
    </xf>
    <xf numFmtId="0" fontId="7" fillId="0" borderId="0" xfId="0" applyFont="1" applyFill="1"/>
    <xf numFmtId="0" fontId="4" fillId="0" borderId="0" xfId="0" applyFont="1"/>
    <xf numFmtId="0" fontId="4" fillId="0" borderId="0" xfId="0" applyFont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/>
  </cellXfs>
  <cellStyles count="3">
    <cellStyle name="Normal" xfId="0" builtinId="0"/>
    <cellStyle name="Normal_Sheet1" xfId="2" xr:uid="{E92DD35E-5B58-49D9-B0A1-8257B9F78FAC}"/>
    <cellStyle name="Percent" xfId="1" builtinId="5"/>
  </cellStyles>
  <dxfs count="0"/>
  <tableStyles count="0" defaultTableStyle="TableStyleMedium2" defaultPivotStyle="PivotStyleLight16"/>
  <colors>
    <mruColors>
      <color rgb="FFACB9CA"/>
      <color rgb="FF78B82A"/>
      <color rgb="FF00C5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Electi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539F"/>
      </a:accent1>
      <a:accent2>
        <a:srgbClr val="D50000"/>
      </a:accent2>
      <a:accent3>
        <a:srgbClr val="FAA01A"/>
      </a:accent3>
      <a:accent4>
        <a:srgbClr val="72288A"/>
      </a:accent4>
      <a:accent5>
        <a:srgbClr val="FFF685"/>
      </a:accent5>
      <a:accent6>
        <a:srgbClr val="78B82A"/>
      </a:accent6>
      <a:hlink>
        <a:srgbClr val="909090"/>
      </a:hlink>
      <a:folHlink>
        <a:srgbClr val="34883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9779D-A593-4E65-B2AB-DBF16CB24362}">
  <dimension ref="A1:N373"/>
  <sheetViews>
    <sheetView view="pageBreakPreview" zoomScaleNormal="100" zoomScaleSheetLayoutView="100" workbookViewId="0">
      <selection activeCell="B13" sqref="B13"/>
    </sheetView>
  </sheetViews>
  <sheetFormatPr defaultColWidth="9.109375" defaultRowHeight="12"/>
  <cols>
    <col min="1" max="1" width="9.109375" style="1"/>
    <col min="2" max="2" width="13.6640625" style="1" customWidth="1"/>
    <col min="3" max="10" width="6" style="2" customWidth="1"/>
    <col min="11" max="11" width="10.21875" style="3" bestFit="1" customWidth="1"/>
    <col min="12" max="12" width="8" style="1" customWidth="1"/>
    <col min="13" max="13" width="11.44140625" style="3" bestFit="1" customWidth="1"/>
    <col min="14" max="14" width="6" style="2" customWidth="1"/>
    <col min="15" max="16384" width="9.109375" style="1"/>
  </cols>
  <sheetData>
    <row r="1" spans="1:14">
      <c r="A1" s="1" t="s">
        <v>395</v>
      </c>
      <c r="B1" s="20" t="s">
        <v>394</v>
      </c>
      <c r="C1" s="61" t="s">
        <v>390</v>
      </c>
      <c r="D1" s="61" t="s">
        <v>391</v>
      </c>
      <c r="E1" s="61" t="s">
        <v>1</v>
      </c>
      <c r="F1" s="61" t="s">
        <v>3</v>
      </c>
      <c r="G1" s="61" t="s">
        <v>0</v>
      </c>
      <c r="H1" s="61" t="s">
        <v>2</v>
      </c>
      <c r="I1" s="61" t="s">
        <v>5</v>
      </c>
      <c r="J1" s="61" t="s">
        <v>4</v>
      </c>
      <c r="K1" s="62" t="s">
        <v>392</v>
      </c>
      <c r="L1" s="62" t="s">
        <v>393</v>
      </c>
      <c r="M1" s="63" t="s">
        <v>6</v>
      </c>
      <c r="N1" s="64" t="s">
        <v>7</v>
      </c>
    </row>
    <row r="2" spans="1:14">
      <c r="A2" s="65" t="s">
        <v>397</v>
      </c>
      <c r="B2" s="55" t="s">
        <v>358</v>
      </c>
      <c r="C2" s="56">
        <v>0.1566192385480609</v>
      </c>
      <c r="D2" s="57">
        <v>0.16928054882684726</v>
      </c>
      <c r="E2" s="57">
        <v>8.4604911858832677E-2</v>
      </c>
      <c r="F2" s="57">
        <v>6.9399013384726913E-2</v>
      </c>
      <c r="G2" s="33">
        <v>0.12757041568682922</v>
      </c>
      <c r="H2" s="33">
        <v>1.8220906463663918E-2</v>
      </c>
      <c r="I2" s="33">
        <v>0.34550983963081494</v>
      </c>
      <c r="J2" s="57">
        <v>2.9262513924005869E-2</v>
      </c>
      <c r="K2" s="58">
        <v>56557</v>
      </c>
      <c r="L2" s="1" t="s">
        <v>357</v>
      </c>
      <c r="M2" s="59">
        <v>145832</v>
      </c>
      <c r="N2" s="60">
        <v>0.38900000000000001</v>
      </c>
    </row>
    <row r="3" spans="1:14">
      <c r="A3" s="65" t="s">
        <v>398</v>
      </c>
      <c r="B3" s="55" t="s">
        <v>359</v>
      </c>
      <c r="C3" s="56">
        <v>0.19893420838531214</v>
      </c>
      <c r="D3" s="57">
        <v>0.16884889267231479</v>
      </c>
      <c r="E3" s="57">
        <v>2.9713405488669992E-2</v>
      </c>
      <c r="F3" s="57">
        <v>6.1791452159930815E-2</v>
      </c>
      <c r="G3" s="56">
        <v>0.17967219317091626</v>
      </c>
      <c r="H3" s="56">
        <v>2.1732690598658875E-2</v>
      </c>
      <c r="I3" s="56">
        <v>0.31422703257799939</v>
      </c>
      <c r="J3" s="57">
        <v>2.5700271595930115E-2</v>
      </c>
      <c r="K3" s="58">
        <v>74007</v>
      </c>
      <c r="L3" s="1" t="s">
        <v>357</v>
      </c>
      <c r="M3" s="59">
        <v>192269</v>
      </c>
      <c r="N3" s="60">
        <v>0.38600000000000001</v>
      </c>
    </row>
    <row r="4" spans="1:14">
      <c r="A4" s="65" t="s">
        <v>399</v>
      </c>
      <c r="B4" s="39" t="s">
        <v>236</v>
      </c>
      <c r="C4" s="40">
        <v>0.36277999999999999</v>
      </c>
      <c r="D4" s="40">
        <v>0.19589999999999999</v>
      </c>
      <c r="E4" s="40">
        <v>9.11E-2</v>
      </c>
      <c r="F4" s="40">
        <v>0.17299999999999999</v>
      </c>
      <c r="G4" s="40">
        <v>0.10106999999999999</v>
      </c>
      <c r="H4" s="40">
        <v>2.4750000000000001E-2</v>
      </c>
      <c r="I4" s="11">
        <v>0</v>
      </c>
      <c r="J4" s="2">
        <v>5.1200000000000002E-2</v>
      </c>
      <c r="K4" s="9">
        <v>19105</v>
      </c>
      <c r="L4" s="1" t="s">
        <v>235</v>
      </c>
      <c r="M4" s="9">
        <v>48560</v>
      </c>
      <c r="N4" s="8">
        <v>0.39560000000000001</v>
      </c>
    </row>
    <row r="5" spans="1:14">
      <c r="A5" s="65" t="s">
        <v>400</v>
      </c>
      <c r="B5" s="1" t="s">
        <v>22</v>
      </c>
      <c r="C5" s="2">
        <v>0.38500000000000001</v>
      </c>
      <c r="D5" s="2">
        <v>0.17</v>
      </c>
      <c r="E5" s="2">
        <v>0.129</v>
      </c>
      <c r="F5" s="2">
        <v>0.111</v>
      </c>
      <c r="G5" s="2">
        <v>9.5000000000000001E-2</v>
      </c>
      <c r="H5" s="2">
        <v>0.04</v>
      </c>
      <c r="I5" s="2">
        <v>0</v>
      </c>
      <c r="J5" s="2">
        <v>7.0999999999999994E-2</v>
      </c>
      <c r="K5" s="13">
        <v>24911</v>
      </c>
      <c r="L5" s="3" t="s">
        <v>21</v>
      </c>
      <c r="M5" s="3">
        <v>74339</v>
      </c>
      <c r="N5" s="2">
        <v>0.33500000000000002</v>
      </c>
    </row>
    <row r="6" spans="1:14">
      <c r="A6" s="65" t="s">
        <v>401</v>
      </c>
      <c r="B6" s="22" t="s">
        <v>84</v>
      </c>
      <c r="C6" s="2">
        <v>0.4</v>
      </c>
      <c r="D6" s="2">
        <v>0.152</v>
      </c>
      <c r="E6" s="2">
        <v>0.122</v>
      </c>
      <c r="F6" s="2">
        <v>0.12</v>
      </c>
      <c r="G6" s="2">
        <v>0.112</v>
      </c>
      <c r="H6" s="2">
        <v>5.3999999999999999E-2</v>
      </c>
      <c r="I6" s="2">
        <v>0</v>
      </c>
      <c r="J6" s="2">
        <v>3.9E-2</v>
      </c>
      <c r="K6" s="3">
        <v>35573</v>
      </c>
      <c r="L6" s="6" t="s">
        <v>83</v>
      </c>
      <c r="M6" s="3">
        <v>97918</v>
      </c>
      <c r="N6" s="2">
        <f>K6/M6</f>
        <v>0.36329377642517208</v>
      </c>
    </row>
    <row r="7" spans="1:14">
      <c r="A7" s="65" t="s">
        <v>402</v>
      </c>
      <c r="B7" s="55" t="s">
        <v>360</v>
      </c>
      <c r="C7" s="56">
        <v>0.18801163453177006</v>
      </c>
      <c r="D7" s="57">
        <v>0.10532919106225355</v>
      </c>
      <c r="E7" s="57">
        <v>4.2717170510216278E-2</v>
      </c>
      <c r="F7" s="57">
        <v>5.9624805831043133E-2</v>
      </c>
      <c r="G7" s="56">
        <v>0.17227267295973234</v>
      </c>
      <c r="H7" s="56">
        <v>1.815314108859328E-2</v>
      </c>
      <c r="I7" s="56">
        <v>0.38827816943481896</v>
      </c>
      <c r="J7" s="57">
        <v>2.6257617397538534E-2</v>
      </c>
      <c r="K7" s="58">
        <v>33476</v>
      </c>
      <c r="L7" s="1" t="s">
        <v>357</v>
      </c>
      <c r="M7" s="59">
        <v>86548</v>
      </c>
      <c r="N7" s="60">
        <v>0.38799999999999996</v>
      </c>
    </row>
    <row r="8" spans="1:14">
      <c r="A8" s="65" t="s">
        <v>403</v>
      </c>
      <c r="B8" s="55" t="s">
        <v>361</v>
      </c>
      <c r="C8" s="56">
        <v>0.17922325627281396</v>
      </c>
      <c r="D8" s="57">
        <v>0.16440106128599036</v>
      </c>
      <c r="E8" s="57">
        <v>3.9208621310884734E-2</v>
      </c>
      <c r="F8" s="57">
        <v>7.3864194700121191E-2</v>
      </c>
      <c r="G8" s="56">
        <v>0.1305316256673982</v>
      </c>
      <c r="H8" s="56">
        <v>1.8532415413227185E-2</v>
      </c>
      <c r="I8" s="56">
        <v>0.37230174588096565</v>
      </c>
      <c r="J8" s="57">
        <v>2.256870516558027E-2</v>
      </c>
      <c r="K8" s="58">
        <v>30529</v>
      </c>
      <c r="L8" s="1" t="s">
        <v>357</v>
      </c>
      <c r="M8" s="59">
        <v>65512</v>
      </c>
      <c r="N8" s="60">
        <v>0.46799999999999997</v>
      </c>
    </row>
    <row r="9" spans="1:14">
      <c r="A9" s="65" t="s">
        <v>404</v>
      </c>
      <c r="B9" s="39" t="s">
        <v>237</v>
      </c>
      <c r="C9" s="40">
        <v>0.48570000000000002</v>
      </c>
      <c r="D9" s="40">
        <v>0.1943</v>
      </c>
      <c r="E9" s="40">
        <v>4.5379999999999997E-2</v>
      </c>
      <c r="F9" s="40">
        <v>0.1056</v>
      </c>
      <c r="G9" s="40">
        <v>9.7159999999999996E-2</v>
      </c>
      <c r="H9" s="40">
        <v>3.09E-2</v>
      </c>
      <c r="I9" s="11">
        <v>0</v>
      </c>
      <c r="J9" s="2">
        <v>3.9800000000000002E-2</v>
      </c>
      <c r="K9" s="9">
        <v>44841</v>
      </c>
      <c r="L9" s="1" t="s">
        <v>235</v>
      </c>
      <c r="M9" s="9">
        <v>120336</v>
      </c>
      <c r="N9" s="8">
        <v>0.37490000000000001</v>
      </c>
    </row>
    <row r="10" spans="1:14">
      <c r="A10" s="65" t="s">
        <v>405</v>
      </c>
      <c r="B10" s="22" t="s">
        <v>85</v>
      </c>
      <c r="C10" s="2">
        <v>0.49399999999999999</v>
      </c>
      <c r="D10" s="2">
        <v>9.9000000000000005E-2</v>
      </c>
      <c r="E10" s="2">
        <v>0.121</v>
      </c>
      <c r="F10" s="2">
        <v>7.0000000000000007E-2</v>
      </c>
      <c r="G10" s="2">
        <v>0.06</v>
      </c>
      <c r="H10" s="2">
        <v>7.8E-2</v>
      </c>
      <c r="I10" s="2">
        <v>0</v>
      </c>
      <c r="J10" s="2">
        <v>7.6999999999999999E-2</v>
      </c>
      <c r="K10" s="3">
        <v>28233</v>
      </c>
      <c r="L10" s="6" t="s">
        <v>83</v>
      </c>
      <c r="M10" s="3">
        <v>93125</v>
      </c>
      <c r="N10" s="2">
        <f>K10/M10</f>
        <v>0.3031731543624161</v>
      </c>
    </row>
    <row r="11" spans="1:14">
      <c r="A11" s="65" t="s">
        <v>406</v>
      </c>
      <c r="B11" s="39" t="s">
        <v>238</v>
      </c>
      <c r="C11" s="40">
        <v>0.45540000000000003</v>
      </c>
      <c r="D11" s="40">
        <v>0.18970000000000001</v>
      </c>
      <c r="E11" s="40">
        <v>6.2E-2</v>
      </c>
      <c r="F11" s="40">
        <v>0.1215</v>
      </c>
      <c r="G11" s="40">
        <v>9.9400000000000002E-2</v>
      </c>
      <c r="H11" s="40">
        <v>2.3599999999999999E-2</v>
      </c>
      <c r="I11" s="11">
        <v>0</v>
      </c>
      <c r="J11" s="2">
        <v>4.7E-2</v>
      </c>
      <c r="K11" s="9">
        <v>34562</v>
      </c>
      <c r="L11" s="1" t="s">
        <v>235</v>
      </c>
      <c r="M11" s="9">
        <v>92437</v>
      </c>
      <c r="N11" s="8">
        <v>0.376</v>
      </c>
    </row>
    <row r="12" spans="1:14">
      <c r="A12" s="65" t="s">
        <v>407</v>
      </c>
      <c r="B12" s="39" t="s">
        <v>239</v>
      </c>
      <c r="C12" s="40">
        <v>0.33646999999999999</v>
      </c>
      <c r="D12" s="40">
        <v>0.26519999999999999</v>
      </c>
      <c r="E12" s="41">
        <v>7.0000000000000007E-2</v>
      </c>
      <c r="F12" s="40">
        <v>0.1399</v>
      </c>
      <c r="G12" s="40">
        <v>0.11022</v>
      </c>
      <c r="H12" s="40">
        <v>2.18E-2</v>
      </c>
      <c r="I12" s="11">
        <v>0</v>
      </c>
      <c r="J12" s="2">
        <v>5.6300000000000003E-2</v>
      </c>
      <c r="K12" s="9">
        <v>58043</v>
      </c>
      <c r="L12" s="1" t="s">
        <v>235</v>
      </c>
      <c r="M12" s="9">
        <v>140521</v>
      </c>
      <c r="N12" s="8">
        <v>0.41600000000000004</v>
      </c>
    </row>
    <row r="13" spans="1:14">
      <c r="A13" s="65" t="s">
        <v>408</v>
      </c>
      <c r="B13" s="30" t="s">
        <v>156</v>
      </c>
      <c r="C13" s="31">
        <v>0.41295414000000003</v>
      </c>
      <c r="D13" s="31">
        <v>0.2032949</v>
      </c>
      <c r="E13" s="31">
        <v>4.8987160000000002E-2</v>
      </c>
      <c r="F13" s="31">
        <v>0.16343600999999999</v>
      </c>
      <c r="G13" s="31">
        <v>9.9247189999999999E-2</v>
      </c>
      <c r="H13" s="31">
        <v>3.174892E-2</v>
      </c>
      <c r="I13" s="11">
        <v>0</v>
      </c>
      <c r="J13" s="2">
        <v>4.0329999999999998E-2</v>
      </c>
      <c r="K13" s="3">
        <v>27497</v>
      </c>
      <c r="L13" s="6" t="s">
        <v>155</v>
      </c>
      <c r="M13" s="32">
        <v>70455</v>
      </c>
      <c r="N13" s="33">
        <v>0.39027748000000001</v>
      </c>
    </row>
    <row r="14" spans="1:14">
      <c r="A14" s="65" t="s">
        <v>409</v>
      </c>
      <c r="B14" s="37" t="s">
        <v>202</v>
      </c>
      <c r="C14" s="31">
        <v>0.29038467000000001</v>
      </c>
      <c r="D14" s="31">
        <v>8.1863480000000002E-2</v>
      </c>
      <c r="E14" s="31">
        <v>0.40731366999999996</v>
      </c>
      <c r="F14" s="31">
        <v>5.1833690000000002E-2</v>
      </c>
      <c r="G14" s="31">
        <v>5.215007E-2</v>
      </c>
      <c r="H14" s="31">
        <v>5.0067229999999997E-2</v>
      </c>
      <c r="I14" s="11">
        <v>0</v>
      </c>
      <c r="J14" s="2">
        <v>6.6299999999999998E-2</v>
      </c>
      <c r="K14" s="9">
        <v>37929</v>
      </c>
      <c r="L14" s="1" t="s">
        <v>201</v>
      </c>
      <c r="M14" s="32">
        <v>121195</v>
      </c>
      <c r="N14" s="33">
        <v>0.31295845999999999</v>
      </c>
    </row>
    <row r="15" spans="1:14">
      <c r="A15" s="65" t="s">
        <v>410</v>
      </c>
      <c r="B15" s="37" t="s">
        <v>203</v>
      </c>
      <c r="C15" s="31">
        <v>0.17699820999999999</v>
      </c>
      <c r="D15" s="31">
        <v>0.28403193999999998</v>
      </c>
      <c r="E15" s="31">
        <v>0.16551181000000001</v>
      </c>
      <c r="F15" s="31">
        <v>0.10109892000000001</v>
      </c>
      <c r="G15" s="31">
        <v>0.14363691000000001</v>
      </c>
      <c r="H15" s="31">
        <v>1.6820470000000001E-2</v>
      </c>
      <c r="I15" s="11">
        <v>0</v>
      </c>
      <c r="J15" s="2">
        <v>0.1119</v>
      </c>
      <c r="K15" s="9">
        <v>96549</v>
      </c>
      <c r="L15" s="1" t="s">
        <v>201</v>
      </c>
      <c r="M15" s="32">
        <v>228896</v>
      </c>
      <c r="N15" s="33">
        <v>0.42180290999999998</v>
      </c>
    </row>
    <row r="16" spans="1:14">
      <c r="A16" s="65" t="s">
        <v>411</v>
      </c>
      <c r="B16" s="1" t="s">
        <v>62</v>
      </c>
      <c r="C16" s="2">
        <v>0.47599999999999998</v>
      </c>
      <c r="D16" s="2">
        <v>9.2999999999999999E-2</v>
      </c>
      <c r="E16" s="2">
        <v>0.156</v>
      </c>
      <c r="F16" s="2">
        <v>8.2000000000000003E-2</v>
      </c>
      <c r="G16" s="2">
        <v>3.7999999999999999E-2</v>
      </c>
      <c r="H16" s="2">
        <v>5.8999999999999997E-2</v>
      </c>
      <c r="I16" s="2">
        <v>0</v>
      </c>
      <c r="J16" s="2">
        <v>9.5000000000000001E-2</v>
      </c>
      <c r="K16" s="3">
        <v>49319</v>
      </c>
      <c r="L16" s="6" t="s">
        <v>61</v>
      </c>
      <c r="M16" s="21">
        <v>177719</v>
      </c>
      <c r="N16" s="2">
        <f>K16/M16</f>
        <v>0.27751112711640286</v>
      </c>
    </row>
    <row r="17" spans="1:14">
      <c r="A17" s="65" t="s">
        <v>412</v>
      </c>
      <c r="B17" s="1" t="s">
        <v>23</v>
      </c>
      <c r="C17" s="2">
        <v>0.40400000000000003</v>
      </c>
      <c r="D17" s="2">
        <v>0.12</v>
      </c>
      <c r="E17" s="2">
        <v>0.18</v>
      </c>
      <c r="F17" s="2">
        <v>8.6999999999999994E-2</v>
      </c>
      <c r="G17" s="2">
        <v>8.8999999999999996E-2</v>
      </c>
      <c r="H17" s="2">
        <v>0.05</v>
      </c>
      <c r="I17" s="2">
        <v>0</v>
      </c>
      <c r="J17" s="2">
        <v>7.0000000000000007E-2</v>
      </c>
      <c r="K17" s="13">
        <v>13810</v>
      </c>
      <c r="L17" s="3" t="s">
        <v>21</v>
      </c>
      <c r="M17" s="3">
        <v>52376</v>
      </c>
      <c r="N17" s="2">
        <v>0.26400000000000001</v>
      </c>
    </row>
    <row r="18" spans="1:14">
      <c r="A18" s="65" t="s">
        <v>413</v>
      </c>
      <c r="B18" s="30" t="s">
        <v>157</v>
      </c>
      <c r="C18" s="34">
        <v>0.50524809999999998</v>
      </c>
      <c r="D18" s="34">
        <v>0.13419629999999999</v>
      </c>
      <c r="E18" s="34">
        <v>9.2284199999999997E-2</v>
      </c>
      <c r="F18" s="34">
        <v>8.3000019999999994E-2</v>
      </c>
      <c r="G18" s="34">
        <v>9.6356629999999999E-2</v>
      </c>
      <c r="H18" s="34">
        <v>4.9741840000000002E-2</v>
      </c>
      <c r="I18" s="35">
        <v>0</v>
      </c>
      <c r="J18" s="8">
        <v>3.9E-2</v>
      </c>
      <c r="K18" s="3">
        <v>41253</v>
      </c>
      <c r="L18" s="6" t="s">
        <v>155</v>
      </c>
      <c r="M18" s="32">
        <v>134468</v>
      </c>
      <c r="N18" s="33">
        <v>0.30678674</v>
      </c>
    </row>
    <row r="19" spans="1:14">
      <c r="A19" s="65" t="s">
        <v>414</v>
      </c>
      <c r="B19" s="39" t="s">
        <v>240</v>
      </c>
      <c r="C19" s="40">
        <v>0.35610999999999998</v>
      </c>
      <c r="D19" s="40">
        <v>0.254</v>
      </c>
      <c r="E19" s="40">
        <v>6.9080000000000003E-2</v>
      </c>
      <c r="F19" s="40">
        <v>0.11722</v>
      </c>
      <c r="G19" s="40">
        <v>0.1246</v>
      </c>
      <c r="H19" s="40">
        <v>2.3900000000000001E-2</v>
      </c>
      <c r="I19" s="11">
        <v>0</v>
      </c>
      <c r="J19" s="2">
        <v>5.5E-2</v>
      </c>
      <c r="K19" s="9">
        <v>48566</v>
      </c>
      <c r="L19" s="1" t="s">
        <v>235</v>
      </c>
      <c r="M19" s="9">
        <v>130540</v>
      </c>
      <c r="N19" s="8">
        <v>0.37450000000000006</v>
      </c>
    </row>
    <row r="20" spans="1:14">
      <c r="A20" s="65" t="s">
        <v>415</v>
      </c>
      <c r="B20" s="22" t="s">
        <v>86</v>
      </c>
      <c r="C20" s="2">
        <v>0.47099999999999997</v>
      </c>
      <c r="D20" s="2">
        <v>0.115</v>
      </c>
      <c r="E20" s="2">
        <v>0.15</v>
      </c>
      <c r="F20" s="2">
        <v>7.2999999999999995E-2</v>
      </c>
      <c r="G20" s="2">
        <v>8.4000000000000005E-2</v>
      </c>
      <c r="H20" s="2">
        <v>7.1999999999999995E-2</v>
      </c>
      <c r="I20" s="2">
        <v>0</v>
      </c>
      <c r="J20" s="2">
        <v>3.5999999999999997E-2</v>
      </c>
      <c r="K20" s="3">
        <v>27549</v>
      </c>
      <c r="L20" s="6" t="s">
        <v>83</v>
      </c>
      <c r="M20" s="3">
        <v>85470</v>
      </c>
      <c r="N20" s="2">
        <f>K20/M20</f>
        <v>0.32232362232362233</v>
      </c>
    </row>
    <row r="21" spans="1:14" ht="24">
      <c r="A21" s="65" t="s">
        <v>416</v>
      </c>
      <c r="B21" s="42" t="s">
        <v>303</v>
      </c>
      <c r="C21" s="43">
        <v>0.26479999999999998</v>
      </c>
      <c r="D21" s="43">
        <v>0.3498</v>
      </c>
      <c r="E21" s="43">
        <v>5.355E-2</v>
      </c>
      <c r="F21" s="43">
        <v>0.20580000000000001</v>
      </c>
      <c r="G21" s="43">
        <v>6.7799999999999999E-2</v>
      </c>
      <c r="H21" s="43">
        <v>2.3E-2</v>
      </c>
      <c r="I21" s="2">
        <v>0</v>
      </c>
      <c r="J21" s="2">
        <v>3.499E-2</v>
      </c>
      <c r="K21" s="3">
        <v>59413</v>
      </c>
      <c r="L21" s="1" t="s">
        <v>302</v>
      </c>
      <c r="M21" s="44">
        <v>134449</v>
      </c>
      <c r="N21" s="2">
        <v>0.443</v>
      </c>
    </row>
    <row r="22" spans="1:14">
      <c r="A22" s="65" t="s">
        <v>417</v>
      </c>
      <c r="B22" s="30" t="s">
        <v>158</v>
      </c>
      <c r="C22" s="34">
        <v>0.32489164999999998</v>
      </c>
      <c r="D22" s="34">
        <v>0.25592127999999997</v>
      </c>
      <c r="E22" s="34">
        <v>0.12432939</v>
      </c>
      <c r="F22" s="34">
        <v>0.11983131999999999</v>
      </c>
      <c r="G22" s="34">
        <v>9.8254660000000008E-2</v>
      </c>
      <c r="H22" s="34">
        <v>2.9378000000000001E-2</v>
      </c>
      <c r="I22" s="35">
        <v>0</v>
      </c>
      <c r="J22" s="8">
        <v>4.7300000000000002E-2</v>
      </c>
      <c r="K22" s="3">
        <v>42685</v>
      </c>
      <c r="L22" s="6" t="s">
        <v>155</v>
      </c>
      <c r="M22" s="32">
        <v>120713</v>
      </c>
      <c r="N22" s="33">
        <v>0.35360732</v>
      </c>
    </row>
    <row r="23" spans="1:14">
      <c r="A23" s="65" t="s">
        <v>418</v>
      </c>
      <c r="B23" s="37" t="s">
        <v>204</v>
      </c>
      <c r="C23" s="31">
        <v>0.41383260999999999</v>
      </c>
      <c r="D23" s="31">
        <v>0.14435255</v>
      </c>
      <c r="E23" s="31">
        <v>0.13322556999999999</v>
      </c>
      <c r="F23" s="31">
        <v>7.8861879999999995E-2</v>
      </c>
      <c r="G23" s="31">
        <v>0.11105008</v>
      </c>
      <c r="H23" s="31">
        <v>4.711311E-2</v>
      </c>
      <c r="I23" s="11">
        <v>0</v>
      </c>
      <c r="J23" s="2">
        <v>7.1559999999999999E-2</v>
      </c>
      <c r="K23" s="9">
        <v>63719</v>
      </c>
      <c r="L23" s="1" t="s">
        <v>201</v>
      </c>
      <c r="M23" s="32">
        <v>170350</v>
      </c>
      <c r="N23" s="33">
        <v>0.37404755000000001</v>
      </c>
    </row>
    <row r="24" spans="1:14">
      <c r="A24" s="65" t="s">
        <v>419</v>
      </c>
      <c r="B24" s="26" t="s">
        <v>125</v>
      </c>
      <c r="C24" s="2">
        <v>0.24</v>
      </c>
      <c r="D24" s="2">
        <v>0.16300000000000001</v>
      </c>
      <c r="E24" s="2">
        <v>0.35199999999999998</v>
      </c>
      <c r="F24" s="2">
        <v>0.112</v>
      </c>
      <c r="G24" s="2">
        <v>6.9000000000000006E-2</v>
      </c>
      <c r="H24" s="2">
        <v>3.6999999999999998E-2</v>
      </c>
      <c r="I24" s="2">
        <v>0</v>
      </c>
      <c r="J24" s="2">
        <v>2.8000000000000001E-2</v>
      </c>
      <c r="K24" s="3">
        <v>220280</v>
      </c>
      <c r="L24" s="6" t="s">
        <v>124</v>
      </c>
      <c r="M24" s="27">
        <v>712264</v>
      </c>
      <c r="N24" s="2">
        <f>K24/M24</f>
        <v>0.30926735030831265</v>
      </c>
    </row>
    <row r="25" spans="1:14">
      <c r="A25" s="65" t="s">
        <v>420</v>
      </c>
      <c r="B25" s="22" t="s">
        <v>87</v>
      </c>
      <c r="C25" s="2">
        <v>0.41499999999999998</v>
      </c>
      <c r="D25" s="2">
        <v>0.16600000000000001</v>
      </c>
      <c r="E25" s="2">
        <v>9.5000000000000001E-2</v>
      </c>
      <c r="F25" s="2">
        <v>0.11</v>
      </c>
      <c r="G25" s="2">
        <v>0.128</v>
      </c>
      <c r="H25" s="2">
        <v>4.4999999999999998E-2</v>
      </c>
      <c r="I25" s="2">
        <v>0</v>
      </c>
      <c r="J25" s="2">
        <v>4.2000000000000003E-2</v>
      </c>
      <c r="K25" s="3">
        <v>24871</v>
      </c>
      <c r="L25" s="6" t="s">
        <v>83</v>
      </c>
      <c r="M25" s="3">
        <v>75003</v>
      </c>
      <c r="N25" s="2">
        <f>K25/M25</f>
        <v>0.33160006933056013</v>
      </c>
    </row>
    <row r="26" spans="1:14">
      <c r="A26" s="65" t="s">
        <v>421</v>
      </c>
      <c r="B26" s="1" t="s">
        <v>24</v>
      </c>
      <c r="C26" s="12">
        <v>0.25900000000000001</v>
      </c>
      <c r="D26" s="12">
        <v>8.6999999999999994E-2</v>
      </c>
      <c r="E26" s="12">
        <v>0.441</v>
      </c>
      <c r="F26" s="12">
        <v>6.2E-2</v>
      </c>
      <c r="G26" s="12">
        <v>6.4000000000000001E-2</v>
      </c>
      <c r="H26" s="12">
        <v>3.1E-2</v>
      </c>
      <c r="I26" s="2">
        <v>0</v>
      </c>
      <c r="J26" s="2">
        <v>5.5E-2</v>
      </c>
      <c r="K26" s="13">
        <v>36648</v>
      </c>
      <c r="L26" s="3" t="s">
        <v>21</v>
      </c>
      <c r="M26" s="14">
        <v>100517</v>
      </c>
      <c r="N26" s="15">
        <v>0.26400000000000001</v>
      </c>
    </row>
    <row r="27" spans="1:14">
      <c r="A27" s="65" t="s">
        <v>422</v>
      </c>
      <c r="B27" s="1" t="s">
        <v>25</v>
      </c>
      <c r="C27" s="16">
        <v>0.435</v>
      </c>
      <c r="D27" s="16">
        <v>0.09</v>
      </c>
      <c r="E27" s="16">
        <v>0.17100000000000001</v>
      </c>
      <c r="F27" s="16">
        <v>8.2000000000000003E-2</v>
      </c>
      <c r="G27" s="16">
        <v>0.10100000000000001</v>
      </c>
      <c r="H27" s="16">
        <v>0.05</v>
      </c>
      <c r="I27" s="2">
        <v>0</v>
      </c>
      <c r="J27" s="2">
        <v>7.0999999999999994E-2</v>
      </c>
      <c r="K27" s="13">
        <v>30193</v>
      </c>
      <c r="L27" s="3" t="s">
        <v>21</v>
      </c>
      <c r="M27" s="14">
        <v>100662</v>
      </c>
      <c r="N27" s="15">
        <v>0.3</v>
      </c>
    </row>
    <row r="28" spans="1:14">
      <c r="A28" s="65" t="s">
        <v>423</v>
      </c>
      <c r="B28" s="5" t="s">
        <v>335</v>
      </c>
      <c r="C28" s="2">
        <v>0.3947</v>
      </c>
      <c r="D28" s="2">
        <v>6.9599999999999995E-2</v>
      </c>
      <c r="E28" s="2">
        <v>0.2422</v>
      </c>
      <c r="F28" s="2">
        <v>4.2500000000000003E-2</v>
      </c>
      <c r="G28" s="2">
        <v>2.98E-2</v>
      </c>
      <c r="H28" s="2">
        <v>5.2999999999999999E-2</v>
      </c>
      <c r="I28" s="53">
        <v>0.13644999999999999</v>
      </c>
      <c r="J28" s="2">
        <v>3.1E-2</v>
      </c>
      <c r="K28" s="54">
        <v>15185</v>
      </c>
      <c r="L28" s="5" t="s">
        <v>334</v>
      </c>
      <c r="M28" s="32">
        <v>50327</v>
      </c>
      <c r="N28" s="33">
        <v>0.30172671000000001</v>
      </c>
    </row>
    <row r="29" spans="1:14">
      <c r="A29" s="65" t="s">
        <v>424</v>
      </c>
      <c r="B29" s="22" t="s">
        <v>88</v>
      </c>
      <c r="C29" s="2">
        <v>0.48499999999999999</v>
      </c>
      <c r="D29" s="2">
        <v>9.7000000000000003E-2</v>
      </c>
      <c r="E29" s="2">
        <v>0.16300000000000001</v>
      </c>
      <c r="F29" s="2">
        <v>7.1999999999999995E-2</v>
      </c>
      <c r="G29" s="2">
        <v>5.7000000000000002E-2</v>
      </c>
      <c r="H29" s="2">
        <v>7.1999999999999995E-2</v>
      </c>
      <c r="I29" s="2">
        <v>0</v>
      </c>
      <c r="J29" s="2">
        <v>5.5E-2</v>
      </c>
      <c r="K29" s="3">
        <v>15711</v>
      </c>
      <c r="L29" s="6" t="s">
        <v>83</v>
      </c>
      <c r="M29" s="3">
        <v>58894</v>
      </c>
      <c r="N29" s="2">
        <f>K29/M29</f>
        <v>0.2667674126396577</v>
      </c>
    </row>
    <row r="30" spans="1:14">
      <c r="A30" s="65" t="s">
        <v>425</v>
      </c>
      <c r="B30" s="1" t="s">
        <v>26</v>
      </c>
      <c r="C30" s="2">
        <v>0.34599999999999997</v>
      </c>
      <c r="D30" s="2">
        <v>0.126</v>
      </c>
      <c r="E30" s="2">
        <v>0.26100000000000001</v>
      </c>
      <c r="F30" s="2">
        <v>7.5999999999999998E-2</v>
      </c>
      <c r="G30" s="2">
        <v>8.3000000000000004E-2</v>
      </c>
      <c r="H30" s="2">
        <v>4.3999999999999997E-2</v>
      </c>
      <c r="I30" s="2">
        <v>0</v>
      </c>
      <c r="J30" s="2">
        <v>6.3E-2</v>
      </c>
      <c r="K30" s="13">
        <v>66805</v>
      </c>
      <c r="L30" s="3" t="s">
        <v>21</v>
      </c>
      <c r="M30" s="3">
        <v>195333</v>
      </c>
      <c r="N30" s="2">
        <v>0.34200000000000003</v>
      </c>
    </row>
    <row r="31" spans="1:14">
      <c r="A31" s="65" t="s">
        <v>426</v>
      </c>
      <c r="B31" s="22" t="s">
        <v>89</v>
      </c>
      <c r="C31" s="2">
        <v>0.56100000000000005</v>
      </c>
      <c r="D31" s="2">
        <v>7.8E-2</v>
      </c>
      <c r="E31" s="2">
        <v>6.9000000000000006E-2</v>
      </c>
      <c r="F31" s="2">
        <v>5.2999999999999999E-2</v>
      </c>
      <c r="G31" s="2">
        <v>0.13100000000000001</v>
      </c>
      <c r="H31" s="2">
        <v>7.3999999999999996E-2</v>
      </c>
      <c r="I31" s="2">
        <v>0</v>
      </c>
      <c r="J31" s="2">
        <v>3.4000000000000002E-2</v>
      </c>
      <c r="K31" s="3">
        <v>13450</v>
      </c>
      <c r="L31" s="6" t="s">
        <v>83</v>
      </c>
      <c r="M31" s="3">
        <v>41435</v>
      </c>
      <c r="N31" s="2">
        <f>K31/M31</f>
        <v>0.32460480270302883</v>
      </c>
    </row>
    <row r="32" spans="1:14" ht="36">
      <c r="A32" s="65" t="s">
        <v>427</v>
      </c>
      <c r="B32" s="42" t="s">
        <v>304</v>
      </c>
      <c r="C32" s="43">
        <v>0.4199</v>
      </c>
      <c r="D32" s="43">
        <v>0.21290000000000001</v>
      </c>
      <c r="E32" s="43">
        <v>5.5660000000000001E-2</v>
      </c>
      <c r="F32" s="43">
        <v>0.15135999999999999</v>
      </c>
      <c r="G32" s="43">
        <v>8.5099999999999995E-2</v>
      </c>
      <c r="H32" s="43">
        <v>3.8399999999999997E-2</v>
      </c>
      <c r="I32" s="2">
        <v>0</v>
      </c>
      <c r="J32" s="2">
        <v>3.6400000000000002E-2</v>
      </c>
      <c r="K32" s="3">
        <v>100927</v>
      </c>
      <c r="L32" s="1" t="s">
        <v>302</v>
      </c>
      <c r="M32" s="44">
        <v>282469</v>
      </c>
      <c r="N32" s="2">
        <v>0.35930000000000001</v>
      </c>
    </row>
    <row r="33" spans="1:14">
      <c r="A33" s="65" t="s">
        <v>428</v>
      </c>
      <c r="B33" s="39" t="s">
        <v>241</v>
      </c>
      <c r="C33" s="40">
        <v>0.3725</v>
      </c>
      <c r="D33" s="40">
        <v>0.23760000000000001</v>
      </c>
      <c r="E33" s="40">
        <v>7.2989999999999999E-2</v>
      </c>
      <c r="F33" s="40">
        <v>0.11385000000000001</v>
      </c>
      <c r="G33" s="40">
        <v>0.127</v>
      </c>
      <c r="H33" s="40">
        <v>2.4E-2</v>
      </c>
      <c r="I33" s="11">
        <v>0</v>
      </c>
      <c r="J33" s="2">
        <v>5.1900000000000002E-2</v>
      </c>
      <c r="K33" s="9">
        <v>29387</v>
      </c>
      <c r="L33" s="1" t="s">
        <v>235</v>
      </c>
      <c r="M33" s="9">
        <v>85561</v>
      </c>
      <c r="N33" s="8">
        <v>0.35</v>
      </c>
    </row>
    <row r="34" spans="1:14">
      <c r="A34" s="65" t="s">
        <v>429</v>
      </c>
      <c r="B34" s="1" t="s">
        <v>63</v>
      </c>
      <c r="C34" s="2">
        <v>0.29899999999999999</v>
      </c>
      <c r="D34" s="2">
        <v>0.14099999999999999</v>
      </c>
      <c r="E34" s="2">
        <v>0.28799999999999998</v>
      </c>
      <c r="F34" s="2">
        <v>0.11</v>
      </c>
      <c r="G34" s="2">
        <v>6.7000000000000004E-2</v>
      </c>
      <c r="H34" s="2">
        <v>3.6999999999999998E-2</v>
      </c>
      <c r="I34" s="2">
        <v>0</v>
      </c>
      <c r="J34" s="2">
        <v>5.8000000000000003E-2</v>
      </c>
      <c r="K34" s="3">
        <v>112449</v>
      </c>
      <c r="L34" s="6" t="s">
        <v>61</v>
      </c>
      <c r="M34" s="21">
        <v>352969</v>
      </c>
      <c r="N34" s="2">
        <f>K34/M34</f>
        <v>0.31858038524629639</v>
      </c>
    </row>
    <row r="35" spans="1:14">
      <c r="A35" s="65" t="s">
        <v>430</v>
      </c>
      <c r="B35" s="30" t="s">
        <v>159</v>
      </c>
      <c r="C35" s="34">
        <v>0.4473145</v>
      </c>
      <c r="D35" s="34">
        <v>0.17032463</v>
      </c>
      <c r="E35" s="34">
        <v>5.9614969999999996E-2</v>
      </c>
      <c r="F35" s="34">
        <v>0.13627048999999999</v>
      </c>
      <c r="G35" s="34">
        <v>0.10809426</v>
      </c>
      <c r="H35" s="34">
        <v>3.6022430000000001E-2</v>
      </c>
      <c r="I35" s="35">
        <v>0</v>
      </c>
      <c r="J35" s="8">
        <v>4.2299999999999997E-2</v>
      </c>
      <c r="K35" s="3">
        <v>37088</v>
      </c>
      <c r="L35" s="6" t="s">
        <v>155</v>
      </c>
      <c r="M35" s="32">
        <v>111824</v>
      </c>
      <c r="N35" s="33">
        <v>0.33166403999999999</v>
      </c>
    </row>
    <row r="36" spans="1:14">
      <c r="A36" s="65" t="s">
        <v>431</v>
      </c>
      <c r="B36" s="30" t="s">
        <v>160</v>
      </c>
      <c r="C36" s="34">
        <v>0.45844213000000006</v>
      </c>
      <c r="D36" s="34">
        <v>0.15024203999999999</v>
      </c>
      <c r="E36" s="34">
        <v>6.1992079999999998E-2</v>
      </c>
      <c r="F36" s="34">
        <v>0.12380813</v>
      </c>
      <c r="G36" s="34">
        <v>0.11650286</v>
      </c>
      <c r="H36" s="34">
        <v>4.8584420000000003E-2</v>
      </c>
      <c r="I36" s="35">
        <v>0</v>
      </c>
      <c r="J36" s="36">
        <v>3.2000000000000001E-2</v>
      </c>
      <c r="K36" s="9">
        <v>34085</v>
      </c>
      <c r="L36" s="6" t="s">
        <v>155</v>
      </c>
      <c r="M36" s="32">
        <v>98947</v>
      </c>
      <c r="N36" s="33">
        <v>0.34447735000000002</v>
      </c>
    </row>
    <row r="37" spans="1:14">
      <c r="A37" s="65" t="s">
        <v>432</v>
      </c>
      <c r="B37" s="37" t="s">
        <v>205</v>
      </c>
      <c r="C37" s="31">
        <v>0.11465934000000001</v>
      </c>
      <c r="D37" s="31">
        <v>0.23093542</v>
      </c>
      <c r="E37" s="31">
        <v>0.36576816000000001</v>
      </c>
      <c r="F37" s="31">
        <v>9.1538620000000001E-2</v>
      </c>
      <c r="G37" s="31">
        <v>0.10068103</v>
      </c>
      <c r="H37" s="31">
        <v>1.9128970000000002E-2</v>
      </c>
      <c r="I37" s="11">
        <v>0</v>
      </c>
      <c r="J37" s="2">
        <v>7.7200000000000005E-2</v>
      </c>
      <c r="K37" s="9">
        <v>69894</v>
      </c>
      <c r="L37" s="1" t="s">
        <v>201</v>
      </c>
      <c r="M37" s="32">
        <v>198878</v>
      </c>
      <c r="N37" s="33">
        <v>0.35144159000000003</v>
      </c>
    </row>
    <row r="38" spans="1:14">
      <c r="A38" s="65" t="s">
        <v>433</v>
      </c>
      <c r="B38" s="30" t="s">
        <v>161</v>
      </c>
      <c r="C38" s="34">
        <v>0.43242010999999997</v>
      </c>
      <c r="D38" s="34">
        <v>0.23790856000000002</v>
      </c>
      <c r="E38" s="34">
        <v>4.5676249999999995E-2</v>
      </c>
      <c r="F38" s="34">
        <v>9.6412449999999997E-2</v>
      </c>
      <c r="G38" s="34">
        <v>0.11770069</v>
      </c>
      <c r="H38" s="34">
        <v>3.045084E-2</v>
      </c>
      <c r="I38" s="35">
        <v>0</v>
      </c>
      <c r="J38" s="8">
        <v>3.3099999999999997E-2</v>
      </c>
      <c r="K38" s="3">
        <v>21937</v>
      </c>
      <c r="L38" s="6" t="s">
        <v>155</v>
      </c>
      <c r="M38" s="32">
        <v>58215</v>
      </c>
      <c r="N38" s="33">
        <v>0.37682727999999999</v>
      </c>
    </row>
    <row r="39" spans="1:14">
      <c r="A39" s="65" t="s">
        <v>434</v>
      </c>
      <c r="B39" s="5" t="s">
        <v>336</v>
      </c>
      <c r="C39" s="2">
        <v>0.3584</v>
      </c>
      <c r="D39" s="2">
        <v>0.11811000000000001</v>
      </c>
      <c r="E39" s="2">
        <v>0.18429999999999999</v>
      </c>
      <c r="F39" s="2">
        <v>5.4899999999999997E-2</v>
      </c>
      <c r="G39" s="2">
        <v>6.1199999999999997E-2</v>
      </c>
      <c r="H39" s="2">
        <v>3.6580000000000001E-2</v>
      </c>
      <c r="I39" s="53">
        <v>0.15140000000000001</v>
      </c>
      <c r="J39" s="2">
        <v>3.5999999999999997E-2</v>
      </c>
      <c r="K39" s="54">
        <v>34465</v>
      </c>
      <c r="L39" s="5" t="s">
        <v>334</v>
      </c>
      <c r="M39" s="32">
        <v>106273</v>
      </c>
      <c r="N39" s="2">
        <v>0.32430627000000001</v>
      </c>
    </row>
    <row r="40" spans="1:14">
      <c r="A40" s="65" t="s">
        <v>435</v>
      </c>
      <c r="B40" s="39" t="s">
        <v>242</v>
      </c>
      <c r="C40" s="40">
        <v>0.17408999999999999</v>
      </c>
      <c r="D40" s="40">
        <v>0.22239999999999999</v>
      </c>
      <c r="E40" s="40">
        <v>0.12989999999999999</v>
      </c>
      <c r="F40" s="40">
        <v>0.35649999999999998</v>
      </c>
      <c r="G40" s="41">
        <v>5.1799999999999999E-2</v>
      </c>
      <c r="H40" s="40">
        <v>1.03E-2</v>
      </c>
      <c r="I40" s="11">
        <v>0</v>
      </c>
      <c r="J40" s="2">
        <v>5.4699999999999999E-2</v>
      </c>
      <c r="K40" s="9">
        <v>91411</v>
      </c>
      <c r="L40" s="1" t="s">
        <v>235</v>
      </c>
      <c r="M40" s="9">
        <v>195874</v>
      </c>
      <c r="N40" s="8">
        <v>0.46829999999999999</v>
      </c>
    </row>
    <row r="41" spans="1:14">
      <c r="A41" s="65" t="s">
        <v>436</v>
      </c>
      <c r="B41" s="42" t="s">
        <v>305</v>
      </c>
      <c r="C41" s="43">
        <v>0.18609999999999999</v>
      </c>
      <c r="D41" s="43">
        <v>0.22500000000000001</v>
      </c>
      <c r="E41" s="43">
        <v>0.13869999999999999</v>
      </c>
      <c r="F41" s="43">
        <v>0.35070000000000001</v>
      </c>
      <c r="G41" s="43">
        <v>4.7289999999999999E-2</v>
      </c>
      <c r="H41" s="43">
        <v>2.2800000000000001E-2</v>
      </c>
      <c r="I41" s="2">
        <v>0</v>
      </c>
      <c r="J41" s="2">
        <v>2.9100000000000001E-2</v>
      </c>
      <c r="K41" s="3">
        <v>140040</v>
      </c>
      <c r="L41" s="1" t="s">
        <v>302</v>
      </c>
      <c r="M41" s="44">
        <v>315407</v>
      </c>
      <c r="N41" s="2">
        <v>0.44619999999999999</v>
      </c>
    </row>
    <row r="42" spans="1:14">
      <c r="A42" s="65" t="s">
        <v>437</v>
      </c>
      <c r="B42" s="30" t="s">
        <v>162</v>
      </c>
      <c r="C42" s="34">
        <v>0.39372700999999999</v>
      </c>
      <c r="D42" s="34">
        <v>0.2345122</v>
      </c>
      <c r="E42" s="34">
        <v>6.3777220000000009E-2</v>
      </c>
      <c r="F42" s="34">
        <v>0.12881656</v>
      </c>
      <c r="G42" s="34">
        <v>0.10403071999999999</v>
      </c>
      <c r="H42" s="34">
        <v>3.6547710000000004E-2</v>
      </c>
      <c r="I42" s="35">
        <v>0</v>
      </c>
      <c r="J42" s="8">
        <v>3.85E-2</v>
      </c>
      <c r="K42" s="3">
        <v>37239</v>
      </c>
      <c r="L42" s="6" t="s">
        <v>155</v>
      </c>
      <c r="M42" s="32">
        <v>100294</v>
      </c>
      <c r="N42" s="33">
        <v>0.37129837999999998</v>
      </c>
    </row>
    <row r="43" spans="1:14">
      <c r="A43" s="65" t="s">
        <v>438</v>
      </c>
      <c r="B43" s="37" t="s">
        <v>206</v>
      </c>
      <c r="C43" s="31">
        <v>0.31146546000000003</v>
      </c>
      <c r="D43" s="31">
        <v>0.26786905</v>
      </c>
      <c r="E43" s="31">
        <v>8.588889999999999E-2</v>
      </c>
      <c r="F43" s="31">
        <v>0.11779987</v>
      </c>
      <c r="G43" s="31">
        <v>0.10999631999999999</v>
      </c>
      <c r="H43" s="31">
        <v>2.572984E-2</v>
      </c>
      <c r="I43" s="11">
        <v>0</v>
      </c>
      <c r="J43" s="2">
        <v>8.1199999999999994E-2</v>
      </c>
      <c r="K43" s="9">
        <v>100467</v>
      </c>
      <c r="L43" s="1" t="s">
        <v>201</v>
      </c>
      <c r="M43" s="32">
        <v>233663</v>
      </c>
      <c r="N43" s="33">
        <v>0.42996538000000001</v>
      </c>
    </row>
    <row r="44" spans="1:14">
      <c r="A44" s="65" t="s">
        <v>439</v>
      </c>
      <c r="B44" s="26" t="s">
        <v>126</v>
      </c>
      <c r="C44" s="2">
        <v>0.39200000000000002</v>
      </c>
      <c r="D44" s="2">
        <v>0.215</v>
      </c>
      <c r="E44" s="2">
        <v>6.8000000000000005E-2</v>
      </c>
      <c r="F44" s="2">
        <v>0.114</v>
      </c>
      <c r="G44" s="2">
        <v>0.128</v>
      </c>
      <c r="H44" s="2">
        <v>4.2000000000000003E-2</v>
      </c>
      <c r="I44" s="2">
        <v>0</v>
      </c>
      <c r="J44" s="2">
        <v>4.2000000000000003E-2</v>
      </c>
      <c r="K44" s="3">
        <v>27297</v>
      </c>
      <c r="L44" s="6" t="s">
        <v>124</v>
      </c>
      <c r="M44" s="27">
        <v>73381</v>
      </c>
      <c r="N44" s="2">
        <f>K44/M44</f>
        <v>0.3719900246657854</v>
      </c>
    </row>
    <row r="45" spans="1:14">
      <c r="A45" s="65" t="s">
        <v>440</v>
      </c>
      <c r="B45" s="30" t="s">
        <v>163</v>
      </c>
      <c r="C45" s="34">
        <v>0.44704605999999997</v>
      </c>
      <c r="D45" s="34">
        <v>0.14401301999999999</v>
      </c>
      <c r="E45" s="34">
        <v>0.11427021999999999</v>
      </c>
      <c r="F45" s="34">
        <v>8.3035750000000005E-2</v>
      </c>
      <c r="G45" s="34">
        <v>0.13036207</v>
      </c>
      <c r="H45" s="34">
        <v>3.8105140000000003E-2</v>
      </c>
      <c r="I45" s="35">
        <v>0</v>
      </c>
      <c r="J45" s="8">
        <v>3.5499999999999997E-2</v>
      </c>
      <c r="K45" s="3">
        <v>22123</v>
      </c>
      <c r="L45" s="6" t="s">
        <v>155</v>
      </c>
      <c r="M45" s="32">
        <v>68859</v>
      </c>
      <c r="N45" s="33">
        <v>0.32127971999999999</v>
      </c>
    </row>
    <row r="46" spans="1:14">
      <c r="A46" s="65" t="s">
        <v>441</v>
      </c>
      <c r="B46" s="22" t="s">
        <v>90</v>
      </c>
      <c r="C46" s="2">
        <v>0.35599999999999998</v>
      </c>
      <c r="D46" s="2">
        <v>0.20799999999999999</v>
      </c>
      <c r="E46" s="2">
        <v>0.12</v>
      </c>
      <c r="F46" s="2">
        <v>0.13400000000000001</v>
      </c>
      <c r="G46" s="2">
        <v>8.7999999999999995E-2</v>
      </c>
      <c r="H46" s="2">
        <v>0.04</v>
      </c>
      <c r="I46" s="2">
        <v>0</v>
      </c>
      <c r="J46" s="2">
        <v>5.5E-2</v>
      </c>
      <c r="K46" s="3">
        <v>32758</v>
      </c>
      <c r="L46" s="6" t="s">
        <v>83</v>
      </c>
      <c r="M46" s="3">
        <v>83431</v>
      </c>
      <c r="N46" s="2">
        <f>K46/M46</f>
        <v>0.39263583080629505</v>
      </c>
    </row>
    <row r="47" spans="1:14">
      <c r="A47" s="65" t="s">
        <v>442</v>
      </c>
      <c r="B47" s="17" t="s">
        <v>27</v>
      </c>
      <c r="C47" s="16">
        <v>0.39400000000000002</v>
      </c>
      <c r="D47" s="16">
        <v>9.7000000000000003E-2</v>
      </c>
      <c r="E47" s="16">
        <v>0.25600000000000001</v>
      </c>
      <c r="F47" s="16">
        <v>8.2000000000000003E-2</v>
      </c>
      <c r="G47" s="16">
        <v>4.7E-2</v>
      </c>
      <c r="H47" s="16">
        <v>2.5000000000000001E-2</v>
      </c>
      <c r="I47" s="2">
        <v>0</v>
      </c>
      <c r="J47" s="2">
        <v>9.9000000000000005E-2</v>
      </c>
      <c r="K47" s="13">
        <v>21041</v>
      </c>
      <c r="L47" s="3" t="s">
        <v>21</v>
      </c>
      <c r="M47" s="14">
        <v>63911</v>
      </c>
      <c r="N47" s="15">
        <v>0.32900000000000001</v>
      </c>
    </row>
    <row r="48" spans="1:14">
      <c r="A48" s="65" t="s">
        <v>443</v>
      </c>
      <c r="B48" s="1" t="s">
        <v>28</v>
      </c>
      <c r="C48" s="2">
        <v>0.313</v>
      </c>
      <c r="D48" s="2">
        <v>0.16200000000000001</v>
      </c>
      <c r="E48" s="2">
        <v>0.21199999999999999</v>
      </c>
      <c r="F48" s="2">
        <v>0.113</v>
      </c>
      <c r="G48" s="2">
        <v>9.6000000000000002E-2</v>
      </c>
      <c r="H48" s="2">
        <v>3.5000000000000003E-2</v>
      </c>
      <c r="I48" s="2">
        <v>0</v>
      </c>
      <c r="J48" s="2">
        <v>6.8000000000000005E-2</v>
      </c>
      <c r="K48" s="13">
        <v>49046</v>
      </c>
      <c r="L48" s="3" t="s">
        <v>21</v>
      </c>
      <c r="M48" s="3">
        <v>140181</v>
      </c>
      <c r="N48" s="2">
        <v>0.35</v>
      </c>
    </row>
    <row r="49" spans="1:14">
      <c r="A49" s="65" t="s">
        <v>444</v>
      </c>
      <c r="B49" s="5" t="s">
        <v>337</v>
      </c>
      <c r="C49" s="2">
        <v>0.37290000000000001</v>
      </c>
      <c r="D49" s="2">
        <v>8.8950000000000001E-2</v>
      </c>
      <c r="E49" s="2">
        <v>0.19708000000000001</v>
      </c>
      <c r="F49" s="2">
        <v>5.4300000000000001E-2</v>
      </c>
      <c r="G49" s="2">
        <v>3.6609999999999997E-2</v>
      </c>
      <c r="H49" s="2">
        <v>4.3549999999999998E-2</v>
      </c>
      <c r="I49" s="53">
        <v>0.17807000000000001</v>
      </c>
      <c r="J49" s="2">
        <v>2.8000000000000001E-2</v>
      </c>
      <c r="K49" s="54">
        <v>42387</v>
      </c>
      <c r="L49" s="5" t="s">
        <v>334</v>
      </c>
      <c r="M49" s="32">
        <v>129702</v>
      </c>
      <c r="N49" s="2">
        <v>0.32680298000000002</v>
      </c>
    </row>
    <row r="50" spans="1:14">
      <c r="A50" s="65" t="s">
        <v>445</v>
      </c>
      <c r="B50" s="1" t="s">
        <v>64</v>
      </c>
      <c r="C50" s="2">
        <v>0.35599999999999998</v>
      </c>
      <c r="D50" s="2">
        <v>0.14199999999999999</v>
      </c>
      <c r="E50" s="2">
        <v>0.184</v>
      </c>
      <c r="F50" s="2">
        <v>0.13</v>
      </c>
      <c r="G50" s="2">
        <v>8.1000000000000003E-2</v>
      </c>
      <c r="H50" s="2">
        <v>3.5999999999999997E-2</v>
      </c>
      <c r="I50" s="2">
        <v>0</v>
      </c>
      <c r="J50" s="2">
        <v>7.1999999999999995E-2</v>
      </c>
      <c r="K50" s="3">
        <v>52920</v>
      </c>
      <c r="L50" s="6" t="s">
        <v>61</v>
      </c>
      <c r="M50" s="21">
        <v>148869</v>
      </c>
      <c r="N50" s="2">
        <f>K50/M50</f>
        <v>0.35548032162505289</v>
      </c>
    </row>
    <row r="51" spans="1:14">
      <c r="A51" s="65" t="s">
        <v>446</v>
      </c>
      <c r="B51" s="30" t="s">
        <v>164</v>
      </c>
      <c r="C51" s="34">
        <v>0.127217</v>
      </c>
      <c r="D51" s="34">
        <v>0.43531125999999998</v>
      </c>
      <c r="E51" s="34">
        <v>0.1143295</v>
      </c>
      <c r="F51" s="34">
        <v>0.23634627999999999</v>
      </c>
      <c r="G51" s="34">
        <v>3.7657639999999999E-2</v>
      </c>
      <c r="H51" s="34">
        <v>1.2108730000000002E-2</v>
      </c>
      <c r="I51" s="35">
        <v>0</v>
      </c>
      <c r="J51" s="8">
        <v>3.6999999999999998E-2</v>
      </c>
      <c r="K51" s="3">
        <v>39806</v>
      </c>
      <c r="L51" s="6" t="s">
        <v>155</v>
      </c>
      <c r="M51" s="32">
        <v>83120</v>
      </c>
      <c r="N51" s="33">
        <v>0.47889798</v>
      </c>
    </row>
    <row r="52" spans="1:14">
      <c r="A52" s="65" t="s">
        <v>447</v>
      </c>
      <c r="B52" s="37" t="s">
        <v>207</v>
      </c>
      <c r="C52" s="31">
        <v>0.10535396999999999</v>
      </c>
      <c r="D52" s="31">
        <v>0.35895010999999999</v>
      </c>
      <c r="E52" s="31">
        <v>0.22504272</v>
      </c>
      <c r="F52" s="31">
        <v>0.15897665999999999</v>
      </c>
      <c r="G52" s="31">
        <v>4.9624210000000002E-2</v>
      </c>
      <c r="H52" s="31">
        <v>1.103313E-2</v>
      </c>
      <c r="I52" s="11">
        <v>0</v>
      </c>
      <c r="J52" s="2">
        <v>9.0999999999999998E-2</v>
      </c>
      <c r="K52" s="9">
        <v>60273</v>
      </c>
      <c r="L52" s="1" t="s">
        <v>201</v>
      </c>
      <c r="M52" s="32">
        <v>134351</v>
      </c>
      <c r="N52" s="33">
        <v>0.44862338000000002</v>
      </c>
    </row>
    <row r="53" spans="1:14">
      <c r="A53" s="65" t="s">
        <v>448</v>
      </c>
      <c r="B53" s="28" t="s">
        <v>127</v>
      </c>
      <c r="C53" s="2">
        <v>0.503</v>
      </c>
      <c r="D53" s="2">
        <v>9.2999999999999999E-2</v>
      </c>
      <c r="E53" s="2">
        <v>0.113</v>
      </c>
      <c r="F53" s="2">
        <v>9.0999999999999998E-2</v>
      </c>
      <c r="G53" s="2">
        <v>0.10100000000000001</v>
      </c>
      <c r="H53" s="2">
        <v>7.0000000000000007E-2</v>
      </c>
      <c r="I53" s="2">
        <v>0</v>
      </c>
      <c r="J53" s="2">
        <v>2.9000000000000001E-2</v>
      </c>
      <c r="K53" s="3">
        <v>20958</v>
      </c>
      <c r="L53" s="6" t="s">
        <v>124</v>
      </c>
      <c r="M53" s="29">
        <v>74248</v>
      </c>
      <c r="N53" s="2">
        <f>K53/M53</f>
        <v>0.28227022950113134</v>
      </c>
    </row>
    <row r="54" spans="1:14">
      <c r="A54" s="65" t="s">
        <v>449</v>
      </c>
      <c r="B54" s="39" t="s">
        <v>243</v>
      </c>
      <c r="C54" s="40">
        <v>0.36990000000000001</v>
      </c>
      <c r="D54" s="40">
        <v>0.2586</v>
      </c>
      <c r="E54" s="40">
        <v>8.4900000000000003E-2</v>
      </c>
      <c r="F54" s="40">
        <v>0.14230000000000001</v>
      </c>
      <c r="G54" s="40">
        <v>7.8799999999999995E-2</v>
      </c>
      <c r="H54" s="40">
        <v>1.9699999999999999E-2</v>
      </c>
      <c r="I54" s="11">
        <v>0</v>
      </c>
      <c r="J54" s="2">
        <v>4.5499999999999999E-2</v>
      </c>
      <c r="K54" s="9">
        <v>45127</v>
      </c>
      <c r="L54" s="1" t="s">
        <v>235</v>
      </c>
      <c r="M54" s="9">
        <v>107334</v>
      </c>
      <c r="N54" s="8">
        <v>0.42200000000000004</v>
      </c>
    </row>
    <row r="55" spans="1:14">
      <c r="A55" s="65" t="s">
        <v>450</v>
      </c>
      <c r="B55" s="5" t="s">
        <v>338</v>
      </c>
      <c r="C55" s="2">
        <v>0.21207000000000001</v>
      </c>
      <c r="D55" s="2">
        <v>0.2092</v>
      </c>
      <c r="E55" s="2">
        <v>0.17399999999999999</v>
      </c>
      <c r="F55" s="2">
        <v>8.4559999999999996E-2</v>
      </c>
      <c r="G55" s="2">
        <v>6.4299999999999996E-2</v>
      </c>
      <c r="H55" s="2">
        <v>2.1770000000000001E-2</v>
      </c>
      <c r="I55" s="53">
        <v>0.20169999999999999</v>
      </c>
      <c r="J55" s="2">
        <v>3.2000000000000001E-2</v>
      </c>
      <c r="K55" s="54">
        <v>99386</v>
      </c>
      <c r="L55" s="5" t="s">
        <v>334</v>
      </c>
      <c r="M55" s="32">
        <v>240535</v>
      </c>
      <c r="N55" s="2">
        <v>0.41318727000000005</v>
      </c>
    </row>
    <row r="56" spans="1:14">
      <c r="A56" s="65" t="s">
        <v>451</v>
      </c>
      <c r="B56" s="1" t="s">
        <v>29</v>
      </c>
      <c r="C56" s="2">
        <v>0.39100000000000001</v>
      </c>
      <c r="D56" s="2">
        <v>0.153</v>
      </c>
      <c r="E56" s="2">
        <v>0.11600000000000001</v>
      </c>
      <c r="F56" s="2">
        <v>0.114</v>
      </c>
      <c r="G56" s="2">
        <v>0.11600000000000001</v>
      </c>
      <c r="H56" s="2">
        <v>4.3999999999999997E-2</v>
      </c>
      <c r="I56" s="2">
        <v>0</v>
      </c>
      <c r="J56" s="2">
        <v>6.6000000000000003E-2</v>
      </c>
      <c r="K56" s="13">
        <v>27403</v>
      </c>
      <c r="L56" s="3" t="s">
        <v>21</v>
      </c>
      <c r="M56" s="3">
        <v>81521</v>
      </c>
      <c r="N56" s="2">
        <v>0.33600000000000002</v>
      </c>
    </row>
    <row r="57" spans="1:14">
      <c r="A57" s="65" t="s">
        <v>452</v>
      </c>
      <c r="B57" s="5" t="s">
        <v>339</v>
      </c>
      <c r="C57" s="2">
        <v>0.3286</v>
      </c>
      <c r="D57" s="2">
        <v>7.9500000000000001E-2</v>
      </c>
      <c r="E57" s="2">
        <v>0.12559999999999999</v>
      </c>
      <c r="F57" s="2">
        <v>4.9299999999999997E-2</v>
      </c>
      <c r="G57" s="2">
        <v>4.9090000000000002E-2</v>
      </c>
      <c r="H57" s="2">
        <v>3.2079999999999997E-2</v>
      </c>
      <c r="I57" s="53">
        <v>0.31197999999999998</v>
      </c>
      <c r="J57" s="2">
        <v>2.4E-2</v>
      </c>
      <c r="K57" s="54">
        <v>57823</v>
      </c>
      <c r="L57" s="5" t="s">
        <v>334</v>
      </c>
      <c r="M57" s="32">
        <v>139118</v>
      </c>
      <c r="N57" s="2">
        <v>0.41799999999999998</v>
      </c>
    </row>
    <row r="58" spans="1:14">
      <c r="A58" s="65" t="s">
        <v>453</v>
      </c>
      <c r="B58" s="30" t="s">
        <v>165</v>
      </c>
      <c r="C58" s="34">
        <v>0.58653186000000002</v>
      </c>
      <c r="D58" s="34">
        <v>9.7122470000000002E-2</v>
      </c>
      <c r="E58" s="34">
        <v>5.6589960000000002E-2</v>
      </c>
      <c r="F58" s="34">
        <v>6.9399329999999995E-2</v>
      </c>
      <c r="G58" s="34">
        <v>9.7076720000000005E-2</v>
      </c>
      <c r="H58" s="34">
        <v>5.4622810000000001E-2</v>
      </c>
      <c r="I58" s="35">
        <v>0</v>
      </c>
      <c r="J58" s="8">
        <v>3.8600000000000002E-2</v>
      </c>
      <c r="K58" s="3">
        <v>21859</v>
      </c>
      <c r="L58" s="6" t="s">
        <v>155</v>
      </c>
      <c r="M58" s="32">
        <v>68337</v>
      </c>
      <c r="N58" s="33">
        <v>0.31987063999999998</v>
      </c>
    </row>
    <row r="59" spans="1:14">
      <c r="A59" s="65" t="s">
        <v>454</v>
      </c>
      <c r="B59" s="30" t="s">
        <v>166</v>
      </c>
      <c r="C59" s="34">
        <v>0.37213709</v>
      </c>
      <c r="D59" s="34">
        <v>0.20321853999999998</v>
      </c>
      <c r="E59" s="34">
        <v>7.0865600000000001E-2</v>
      </c>
      <c r="F59" s="34">
        <v>0.12992255999999999</v>
      </c>
      <c r="G59" s="34">
        <v>0.12681935999999999</v>
      </c>
      <c r="H59" s="34">
        <v>4.0341630000000003E-2</v>
      </c>
      <c r="I59" s="35">
        <v>0</v>
      </c>
      <c r="J59" s="8">
        <v>5.6599999999999998E-2</v>
      </c>
      <c r="K59" s="3">
        <v>72828</v>
      </c>
      <c r="L59" s="6" t="s">
        <v>155</v>
      </c>
      <c r="M59" s="32">
        <v>205755</v>
      </c>
      <c r="N59" s="33">
        <v>0.35395494999999999</v>
      </c>
    </row>
    <row r="60" spans="1:14">
      <c r="A60" s="65" t="s">
        <v>455</v>
      </c>
      <c r="B60" s="5" t="s">
        <v>340</v>
      </c>
      <c r="C60" s="2">
        <v>0.27</v>
      </c>
      <c r="D60" s="2">
        <v>0.1633</v>
      </c>
      <c r="E60" s="2">
        <v>5.1299999999999998E-2</v>
      </c>
      <c r="F60" s="2">
        <v>8.8300000000000003E-2</v>
      </c>
      <c r="G60" s="2">
        <v>3.7379999999999997E-2</v>
      </c>
      <c r="H60" s="2">
        <v>2.4109999999999999E-2</v>
      </c>
      <c r="I60" s="53">
        <v>0.37169999999999997</v>
      </c>
      <c r="J60" s="2">
        <v>1.2999999999999999E-2</v>
      </c>
      <c r="K60" s="54">
        <v>23965</v>
      </c>
      <c r="L60" s="5" t="s">
        <v>334</v>
      </c>
      <c r="M60" s="32">
        <v>52862</v>
      </c>
      <c r="N60" s="2">
        <v>0.45335023000000002</v>
      </c>
    </row>
    <row r="61" spans="1:14">
      <c r="A61" s="65" t="s">
        <v>456</v>
      </c>
      <c r="B61" s="22" t="s">
        <v>91</v>
      </c>
      <c r="C61" s="2">
        <v>0.34499999999999997</v>
      </c>
      <c r="D61" s="2">
        <v>0.191</v>
      </c>
      <c r="E61" s="2">
        <v>0.124</v>
      </c>
      <c r="F61" s="2">
        <v>0.128</v>
      </c>
      <c r="G61" s="2">
        <v>0.129</v>
      </c>
      <c r="H61" s="2">
        <v>0.04</v>
      </c>
      <c r="I61" s="2">
        <v>0</v>
      </c>
      <c r="J61" s="2">
        <v>4.2999999999999997E-2</v>
      </c>
      <c r="K61" s="3">
        <v>43259</v>
      </c>
      <c r="L61" s="6" t="s">
        <v>83</v>
      </c>
      <c r="M61" s="3">
        <v>130625</v>
      </c>
      <c r="N61" s="2">
        <f>K61/M61</f>
        <v>0.33116937799043061</v>
      </c>
    </row>
    <row r="62" spans="1:14">
      <c r="A62" s="65" t="s">
        <v>457</v>
      </c>
      <c r="B62" s="30" t="s">
        <v>167</v>
      </c>
      <c r="C62" s="34">
        <v>0.40449081999999997</v>
      </c>
      <c r="D62" s="34">
        <v>0.28722594000000001</v>
      </c>
      <c r="E62" s="34">
        <v>4.7341910000000001E-2</v>
      </c>
      <c r="F62" s="34">
        <v>9.5297549999999995E-2</v>
      </c>
      <c r="G62" s="34">
        <v>9.8175740000000011E-2</v>
      </c>
      <c r="H62" s="34">
        <v>2.8591380000000003E-2</v>
      </c>
      <c r="I62" s="35">
        <v>0</v>
      </c>
      <c r="J62" s="8">
        <v>3.8800000000000001E-2</v>
      </c>
      <c r="K62" s="3">
        <v>47252</v>
      </c>
      <c r="L62" s="6" t="s">
        <v>155</v>
      </c>
      <c r="M62" s="32">
        <v>128233</v>
      </c>
      <c r="N62" s="33">
        <v>0.36848548999999997</v>
      </c>
    </row>
    <row r="63" spans="1:14">
      <c r="A63" s="65" t="s">
        <v>458</v>
      </c>
      <c r="B63" s="42" t="s">
        <v>306</v>
      </c>
      <c r="C63" s="43">
        <v>0.2792</v>
      </c>
      <c r="D63" s="43">
        <v>0.36470000000000002</v>
      </c>
      <c r="E63" s="43">
        <v>4.3900000000000002E-2</v>
      </c>
      <c r="F63" s="43">
        <v>0.1694</v>
      </c>
      <c r="G63" s="43">
        <v>9.4200000000000006E-2</v>
      </c>
      <c r="H63" s="43">
        <v>2.0500000000000001E-2</v>
      </c>
      <c r="I63" s="2">
        <v>0</v>
      </c>
      <c r="J63" s="2">
        <v>3.6900000000000002E-2</v>
      </c>
      <c r="K63" s="3">
        <v>37375</v>
      </c>
      <c r="L63" s="1" t="s">
        <v>302</v>
      </c>
      <c r="M63" s="44">
        <v>86811</v>
      </c>
      <c r="N63" s="2">
        <v>0.43269999999999997</v>
      </c>
    </row>
    <row r="64" spans="1:14">
      <c r="A64" s="65" t="s">
        <v>459</v>
      </c>
      <c r="B64" s="39" t="s">
        <v>244</v>
      </c>
      <c r="C64" s="40">
        <v>0.33489999999999998</v>
      </c>
      <c r="D64" s="40">
        <v>0.26919999999999999</v>
      </c>
      <c r="E64" s="40">
        <v>7.5200000000000003E-2</v>
      </c>
      <c r="F64" s="40">
        <v>0.13289999999999999</v>
      </c>
      <c r="G64" s="40">
        <v>0.1096</v>
      </c>
      <c r="H64" s="40">
        <v>2.3769999999999999E-2</v>
      </c>
      <c r="I64" s="11">
        <v>0</v>
      </c>
      <c r="J64" s="2">
        <v>5.4109999999999998E-2</v>
      </c>
      <c r="K64" s="9">
        <v>41564</v>
      </c>
      <c r="L64" s="1" t="s">
        <v>235</v>
      </c>
      <c r="M64" s="9">
        <v>104209</v>
      </c>
      <c r="N64" s="8">
        <v>0.40149999999999997</v>
      </c>
    </row>
    <row r="65" spans="1:14">
      <c r="A65" s="65" t="s">
        <v>460</v>
      </c>
      <c r="B65" s="1" t="s">
        <v>30</v>
      </c>
      <c r="C65" s="2">
        <v>0.34200000000000003</v>
      </c>
      <c r="D65" s="2">
        <v>0.23</v>
      </c>
      <c r="E65" s="18">
        <v>9.0999999999999998E-2</v>
      </c>
      <c r="F65" s="2">
        <v>0.13300000000000001</v>
      </c>
      <c r="G65" s="19">
        <v>0.113</v>
      </c>
      <c r="H65" s="2">
        <v>3.1E-2</v>
      </c>
      <c r="I65" s="2">
        <v>0</v>
      </c>
      <c r="J65" s="2">
        <v>5.8999999999999997E-2</v>
      </c>
      <c r="K65" s="13">
        <v>107201</v>
      </c>
      <c r="L65" s="3" t="s">
        <v>21</v>
      </c>
      <c r="M65" s="13">
        <v>298460</v>
      </c>
      <c r="N65" s="2">
        <v>0.35899999999999999</v>
      </c>
    </row>
    <row r="66" spans="1:14">
      <c r="A66" s="65" t="s">
        <v>461</v>
      </c>
      <c r="B66" s="1" t="s">
        <v>31</v>
      </c>
      <c r="C66" s="2">
        <v>0.32700000000000001</v>
      </c>
      <c r="D66" s="2">
        <v>0.218</v>
      </c>
      <c r="E66" s="2">
        <v>0.13400000000000001</v>
      </c>
      <c r="F66" s="2">
        <v>0.13900000000000001</v>
      </c>
      <c r="G66" s="12">
        <v>9.9000000000000005E-2</v>
      </c>
      <c r="H66" s="2">
        <v>0.03</v>
      </c>
      <c r="I66" s="2">
        <v>0</v>
      </c>
      <c r="J66" s="2">
        <v>5.2999999999999999E-2</v>
      </c>
      <c r="K66" s="13">
        <v>92502</v>
      </c>
      <c r="L66" s="3" t="s">
        <v>21</v>
      </c>
      <c r="M66" s="3">
        <v>266273</v>
      </c>
      <c r="N66" s="2">
        <v>0.34</v>
      </c>
    </row>
    <row r="67" spans="1:14">
      <c r="A67" s="65" t="s">
        <v>462</v>
      </c>
      <c r="B67" s="22" t="s">
        <v>92</v>
      </c>
      <c r="C67" s="2">
        <v>0.39300000000000002</v>
      </c>
      <c r="D67" s="2">
        <v>0.184</v>
      </c>
      <c r="E67" s="2">
        <v>0.16700000000000001</v>
      </c>
      <c r="F67" s="2">
        <v>0.1</v>
      </c>
      <c r="G67" s="2">
        <v>5.8000000000000003E-2</v>
      </c>
      <c r="H67" s="2">
        <v>5.6000000000000001E-2</v>
      </c>
      <c r="I67" s="2">
        <v>0</v>
      </c>
      <c r="J67" s="2">
        <v>4.1000000000000002E-2</v>
      </c>
      <c r="K67" s="3">
        <v>24879</v>
      </c>
      <c r="L67" s="6" t="s">
        <v>83</v>
      </c>
      <c r="M67" s="3">
        <v>77458</v>
      </c>
      <c r="N67" s="2">
        <f>K67/M67</f>
        <v>0.3211934209507088</v>
      </c>
    </row>
    <row r="68" spans="1:14">
      <c r="A68" s="65" t="s">
        <v>463</v>
      </c>
      <c r="B68" s="39" t="s">
        <v>245</v>
      </c>
      <c r="C68" s="40">
        <v>0.374</v>
      </c>
      <c r="D68" s="40">
        <v>0.27300000000000002</v>
      </c>
      <c r="E68" s="40">
        <v>3.0800000000000001E-2</v>
      </c>
      <c r="F68" s="40">
        <v>0.1396</v>
      </c>
      <c r="G68" s="40">
        <v>0.11629</v>
      </c>
      <c r="H68" s="40">
        <v>2.1000000000000001E-2</v>
      </c>
      <c r="I68" s="11">
        <v>0</v>
      </c>
      <c r="J68" s="2">
        <v>4.4979999999999999E-2</v>
      </c>
      <c r="K68" s="9">
        <v>37148</v>
      </c>
      <c r="L68" s="1" t="s">
        <v>235</v>
      </c>
      <c r="M68" s="9">
        <v>90632</v>
      </c>
      <c r="N68" s="8">
        <v>0.41200000000000003</v>
      </c>
    </row>
    <row r="69" spans="1:14">
      <c r="A69" s="65" t="s">
        <v>464</v>
      </c>
      <c r="B69" s="39" t="s">
        <v>246</v>
      </c>
      <c r="C69" s="40">
        <v>0.30030000000000001</v>
      </c>
      <c r="D69" s="40">
        <v>0.31850000000000001</v>
      </c>
      <c r="E69" s="40">
        <v>4.3499999999999997E-2</v>
      </c>
      <c r="F69" s="40">
        <v>0.1338</v>
      </c>
      <c r="G69" s="40">
        <v>0.1275</v>
      </c>
      <c r="H69" s="40">
        <v>1.44E-2</v>
      </c>
      <c r="I69" s="11">
        <v>0</v>
      </c>
      <c r="J69" s="2">
        <v>6.1769999999999999E-2</v>
      </c>
      <c r="K69" s="9">
        <v>34353</v>
      </c>
      <c r="L69" s="1" t="s">
        <v>235</v>
      </c>
      <c r="M69" s="9">
        <v>71750</v>
      </c>
      <c r="N69" s="8">
        <v>0.48200000000000004</v>
      </c>
    </row>
    <row r="70" spans="1:14">
      <c r="A70" s="65" t="s">
        <v>465</v>
      </c>
      <c r="B70" s="17" t="s">
        <v>32</v>
      </c>
      <c r="C70" s="16">
        <v>0.374</v>
      </c>
      <c r="D70" s="16">
        <v>0.15</v>
      </c>
      <c r="E70" s="16">
        <v>0.16200000000000001</v>
      </c>
      <c r="F70" s="16">
        <v>0.111</v>
      </c>
      <c r="G70" s="16">
        <v>0.107</v>
      </c>
      <c r="H70" s="16">
        <v>3.5000000000000003E-2</v>
      </c>
      <c r="I70" s="2">
        <v>0</v>
      </c>
      <c r="J70" s="2">
        <v>0.06</v>
      </c>
      <c r="K70" s="13">
        <v>30956</v>
      </c>
      <c r="L70" s="3" t="s">
        <v>21</v>
      </c>
      <c r="M70" s="14">
        <v>86459</v>
      </c>
      <c r="N70" s="15">
        <v>0.35799999999999998</v>
      </c>
    </row>
    <row r="71" spans="1:14">
      <c r="A71" s="65" t="s">
        <v>466</v>
      </c>
      <c r="B71" s="55" t="s">
        <v>370</v>
      </c>
      <c r="C71" s="56">
        <v>9.4127102455388342E-2</v>
      </c>
      <c r="D71" s="57">
        <v>0.23001475011904624</v>
      </c>
      <c r="E71" s="57">
        <v>7.1143192297418154E-2</v>
      </c>
      <c r="F71" s="57">
        <v>0.13860466196675997</v>
      </c>
      <c r="G71" s="56">
        <v>0.10001045284026899</v>
      </c>
      <c r="H71" s="56">
        <v>1.0793283149971048E-2</v>
      </c>
      <c r="I71" s="56">
        <v>0.33351529018246012</v>
      </c>
      <c r="J71" s="57">
        <v>2.203226443363027E-2</v>
      </c>
      <c r="K71" s="58">
        <v>172202</v>
      </c>
      <c r="L71" s="1" t="s">
        <v>357</v>
      </c>
      <c r="M71" s="59">
        <v>343748</v>
      </c>
      <c r="N71" s="60">
        <v>0.502</v>
      </c>
    </row>
    <row r="72" spans="1:14">
      <c r="A72" s="65" t="s">
        <v>467</v>
      </c>
      <c r="B72" s="55" t="s">
        <v>373</v>
      </c>
      <c r="C72" s="56">
        <v>9.8586004607908312E-2</v>
      </c>
      <c r="D72" s="57">
        <v>9.236777260942014E-2</v>
      </c>
      <c r="E72" s="57">
        <v>0.15069515482555185</v>
      </c>
      <c r="F72" s="57">
        <v>0.12135132179138278</v>
      </c>
      <c r="G72" s="56">
        <v>6.2406310114325785E-2</v>
      </c>
      <c r="H72" s="56">
        <v>1.6008722701471956E-2</v>
      </c>
      <c r="I72" s="56">
        <v>0.43887720110915956</v>
      </c>
      <c r="J72" s="57">
        <v>1.9963585596366282E-2</v>
      </c>
      <c r="K72" s="58">
        <v>155433</v>
      </c>
      <c r="L72" s="1" t="s">
        <v>357</v>
      </c>
      <c r="M72" s="59">
        <v>435521</v>
      </c>
      <c r="N72" s="60">
        <v>0.35799999999999998</v>
      </c>
    </row>
    <row r="73" spans="1:14">
      <c r="A73" s="65" t="s">
        <v>468</v>
      </c>
      <c r="B73" s="37" t="s">
        <v>208</v>
      </c>
      <c r="C73" s="31">
        <v>0.1574508</v>
      </c>
      <c r="D73" s="31">
        <v>0.40549827999999999</v>
      </c>
      <c r="E73" s="31">
        <v>0.10871603000000001</v>
      </c>
      <c r="F73" s="31">
        <v>0.14495469999999999</v>
      </c>
      <c r="G73" s="31">
        <v>6.123087E-2</v>
      </c>
      <c r="H73" s="31">
        <v>1.1871290000000001E-2</v>
      </c>
      <c r="I73" s="11">
        <v>0</v>
      </c>
      <c r="J73" s="2">
        <v>0.11020000000000001</v>
      </c>
      <c r="K73" s="9">
        <v>3201</v>
      </c>
      <c r="L73" s="1" t="s">
        <v>201</v>
      </c>
      <c r="M73" s="32">
        <v>5947</v>
      </c>
      <c r="N73" s="33">
        <v>0.53825457999999993</v>
      </c>
    </row>
    <row r="74" spans="1:14">
      <c r="A74" s="65" t="s">
        <v>469</v>
      </c>
      <c r="B74" s="55" t="s">
        <v>362</v>
      </c>
      <c r="C74" s="56">
        <v>0.1633032775153857</v>
      </c>
      <c r="D74" s="57">
        <v>9.7183600713012477E-2</v>
      </c>
      <c r="E74" s="57">
        <v>0.11308377896613191</v>
      </c>
      <c r="F74" s="57">
        <v>6.937611408199644E-2</v>
      </c>
      <c r="G74" s="56">
        <v>0.11957219251336898</v>
      </c>
      <c r="H74" s="56">
        <v>1.9749928957090081E-2</v>
      </c>
      <c r="I74" s="56">
        <v>0.39793226381461677</v>
      </c>
      <c r="J74" s="57">
        <v>2.0320855614973262E-2</v>
      </c>
      <c r="K74" s="58">
        <v>14025</v>
      </c>
      <c r="L74" s="1" t="s">
        <v>357</v>
      </c>
      <c r="M74" s="59">
        <v>38061</v>
      </c>
      <c r="N74" s="60">
        <v>0.37</v>
      </c>
    </row>
    <row r="75" spans="1:14">
      <c r="A75" s="65" t="s">
        <v>470</v>
      </c>
      <c r="B75" s="30" t="s">
        <v>168</v>
      </c>
      <c r="C75" s="31">
        <v>0.37235228999999997</v>
      </c>
      <c r="D75" s="31">
        <v>0.24294489</v>
      </c>
      <c r="E75" s="31">
        <v>7.4343670000000001E-2</v>
      </c>
      <c r="F75" s="31">
        <v>0.14661071000000001</v>
      </c>
      <c r="G75" s="31">
        <v>9.1262819999999995E-2</v>
      </c>
      <c r="H75" s="31">
        <v>2.9903599999999999E-2</v>
      </c>
      <c r="I75" s="11">
        <v>0</v>
      </c>
      <c r="J75" s="2">
        <v>4.2500000000000003E-2</v>
      </c>
      <c r="K75" s="3">
        <v>45747</v>
      </c>
      <c r="L75" s="6" t="s">
        <v>155</v>
      </c>
      <c r="M75" s="32">
        <v>131410</v>
      </c>
      <c r="N75" s="33">
        <v>0.34812419</v>
      </c>
    </row>
    <row r="76" spans="1:14">
      <c r="A76" s="65" t="s">
        <v>471</v>
      </c>
      <c r="B76" s="55" t="s">
        <v>363</v>
      </c>
      <c r="C76" s="56">
        <v>0.20058708414872797</v>
      </c>
      <c r="D76" s="57">
        <v>7.442143727161997E-2</v>
      </c>
      <c r="E76" s="57">
        <v>9.9147381242387339E-2</v>
      </c>
      <c r="F76" s="57">
        <v>7.0767356881851401E-2</v>
      </c>
      <c r="G76" s="56">
        <v>7.442143727161997E-2</v>
      </c>
      <c r="H76" s="56">
        <v>2.2925764192139739E-2</v>
      </c>
      <c r="I76" s="56">
        <v>0.43922046285018268</v>
      </c>
      <c r="J76" s="57">
        <v>1.9244823386114496E-2</v>
      </c>
      <c r="K76" s="58">
        <v>8210</v>
      </c>
      <c r="L76" s="1" t="s">
        <v>357</v>
      </c>
      <c r="M76" s="59">
        <v>20979</v>
      </c>
      <c r="N76" s="60">
        <v>0.39299999999999996</v>
      </c>
    </row>
    <row r="77" spans="1:14">
      <c r="A77" s="65" t="s">
        <v>472</v>
      </c>
      <c r="B77" s="5" t="s">
        <v>341</v>
      </c>
      <c r="C77" s="2">
        <v>0.35799999999999998</v>
      </c>
      <c r="D77" s="2">
        <v>0.13109999999999999</v>
      </c>
      <c r="E77" s="2">
        <v>0.10149</v>
      </c>
      <c r="F77" s="2">
        <v>5.8299999999999998E-2</v>
      </c>
      <c r="G77" s="2">
        <v>8.8499999999999995E-2</v>
      </c>
      <c r="H77" s="2">
        <v>3.4470000000000001E-2</v>
      </c>
      <c r="I77" s="53">
        <v>0.20022000000000001</v>
      </c>
      <c r="J77" s="2">
        <v>2.8000000000000001E-2</v>
      </c>
      <c r="K77" s="54">
        <v>33882</v>
      </c>
      <c r="L77" s="5" t="s">
        <v>334</v>
      </c>
      <c r="M77" s="32">
        <v>88439</v>
      </c>
      <c r="N77" s="2">
        <v>0.38311151999999998</v>
      </c>
    </row>
    <row r="78" spans="1:14">
      <c r="A78" s="65" t="s">
        <v>473</v>
      </c>
      <c r="B78" s="1" t="s">
        <v>33</v>
      </c>
      <c r="C78" s="2">
        <v>0.39900000000000002</v>
      </c>
      <c r="D78" s="2">
        <v>0.13100000000000001</v>
      </c>
      <c r="E78" s="2">
        <v>0.17299999999999999</v>
      </c>
      <c r="F78" s="2">
        <v>7.0000000000000007E-2</v>
      </c>
      <c r="G78" s="2">
        <v>0.108</v>
      </c>
      <c r="H78" s="2">
        <v>4.4999999999999998E-2</v>
      </c>
      <c r="I78" s="2">
        <v>0</v>
      </c>
      <c r="J78" s="2">
        <v>7.3999999999999996E-2</v>
      </c>
      <c r="K78" s="13">
        <v>16315</v>
      </c>
      <c r="L78" s="3" t="s">
        <v>21</v>
      </c>
      <c r="M78" s="3">
        <v>52861</v>
      </c>
      <c r="N78" s="2">
        <v>0.309</v>
      </c>
    </row>
    <row r="79" spans="1:14">
      <c r="A79" s="65" t="s">
        <v>474</v>
      </c>
      <c r="B79" s="22" t="s">
        <v>93</v>
      </c>
      <c r="C79" s="2">
        <v>0.40200000000000002</v>
      </c>
      <c r="D79" s="2">
        <v>0.11700000000000001</v>
      </c>
      <c r="E79" s="2">
        <v>0.23100000000000001</v>
      </c>
      <c r="F79" s="2">
        <v>7.5999999999999998E-2</v>
      </c>
      <c r="G79" s="2">
        <v>7.2999999999999995E-2</v>
      </c>
      <c r="H79" s="2">
        <v>5.2999999999999999E-2</v>
      </c>
      <c r="I79" s="2">
        <v>0</v>
      </c>
      <c r="J79" s="2">
        <v>4.7E-2</v>
      </c>
      <c r="K79" s="3">
        <v>15663</v>
      </c>
      <c r="L79" s="6" t="s">
        <v>83</v>
      </c>
      <c r="M79" s="3">
        <v>45030</v>
      </c>
      <c r="N79" s="2">
        <f>K79/M79</f>
        <v>0.34783477681545638</v>
      </c>
    </row>
    <row r="80" spans="1:14">
      <c r="A80" s="65" t="s">
        <v>475</v>
      </c>
      <c r="B80" s="42" t="s">
        <v>307</v>
      </c>
      <c r="C80" s="43">
        <v>0.41095999999999999</v>
      </c>
      <c r="D80" s="43">
        <v>0.19977</v>
      </c>
      <c r="E80" s="45">
        <v>6.1800000000000001E-2</v>
      </c>
      <c r="F80" s="43">
        <v>0.18079999999999999</v>
      </c>
      <c r="G80" s="43">
        <v>7.3700000000000002E-2</v>
      </c>
      <c r="H80" s="43">
        <v>3.5589999999999997E-2</v>
      </c>
      <c r="I80" s="2">
        <v>0</v>
      </c>
      <c r="J80" s="2">
        <v>2.8369999999999999E-2</v>
      </c>
      <c r="K80" s="3">
        <v>174420</v>
      </c>
      <c r="L80" s="1" t="s">
        <v>302</v>
      </c>
      <c r="M80" s="44">
        <v>424255</v>
      </c>
      <c r="N80" s="2">
        <v>0.41360000000000002</v>
      </c>
    </row>
    <row r="81" spans="1:14">
      <c r="A81" s="65" t="s">
        <v>476</v>
      </c>
      <c r="B81" s="42" t="s">
        <v>309</v>
      </c>
      <c r="C81" s="43">
        <v>0.41909000000000002</v>
      </c>
      <c r="D81" s="43">
        <v>0.2238</v>
      </c>
      <c r="E81" s="43">
        <v>3.95E-2</v>
      </c>
      <c r="F81" s="43">
        <v>0.14899999999999999</v>
      </c>
      <c r="G81" s="43">
        <v>0.1008</v>
      </c>
      <c r="H81" s="43">
        <v>3.5529999999999999E-2</v>
      </c>
      <c r="I81" s="2">
        <v>0</v>
      </c>
      <c r="J81" s="2">
        <v>3.209E-2</v>
      </c>
      <c r="K81" s="3">
        <v>119694</v>
      </c>
      <c r="L81" s="1" t="s">
        <v>302</v>
      </c>
      <c r="M81" s="44">
        <v>292612</v>
      </c>
      <c r="N81" s="2">
        <v>0.43169999999999997</v>
      </c>
    </row>
    <row r="82" spans="1:14">
      <c r="A82" s="65" t="s">
        <v>477</v>
      </c>
      <c r="B82" s="28" t="s">
        <v>128</v>
      </c>
      <c r="C82" s="2">
        <v>0.32</v>
      </c>
      <c r="D82" s="2">
        <v>0.152</v>
      </c>
      <c r="E82" s="2">
        <v>0.255</v>
      </c>
      <c r="F82" s="2">
        <v>0.11799999999999999</v>
      </c>
      <c r="G82" s="2">
        <v>7.6999999999999999E-2</v>
      </c>
      <c r="H82" s="2">
        <v>4.9000000000000002E-2</v>
      </c>
      <c r="I82" s="2">
        <v>0</v>
      </c>
      <c r="J82" s="2">
        <v>0.03</v>
      </c>
      <c r="K82" s="3">
        <v>66521</v>
      </c>
      <c r="L82" s="6" t="s">
        <v>124</v>
      </c>
      <c r="M82" s="29">
        <v>217916</v>
      </c>
      <c r="N82" s="2">
        <f>K82/M82</f>
        <v>0.3052598248866536</v>
      </c>
    </row>
    <row r="83" spans="1:14">
      <c r="A83" s="65" t="s">
        <v>478</v>
      </c>
      <c r="B83" s="1" t="s">
        <v>65</v>
      </c>
      <c r="C83" s="2">
        <v>0.34399999999999997</v>
      </c>
      <c r="D83" s="2">
        <v>0.20100000000000001</v>
      </c>
      <c r="E83" s="2">
        <v>6.5000000000000002E-2</v>
      </c>
      <c r="F83" s="2">
        <v>0.16900000000000001</v>
      </c>
      <c r="G83" s="2">
        <v>0.111</v>
      </c>
      <c r="H83" s="2">
        <v>3.4000000000000002E-2</v>
      </c>
      <c r="I83" s="2">
        <v>0</v>
      </c>
      <c r="J83" s="2">
        <v>7.6999999999999999E-2</v>
      </c>
      <c r="K83" s="3">
        <v>18338</v>
      </c>
      <c r="L83" s="6" t="s">
        <v>61</v>
      </c>
      <c r="M83" s="21">
        <v>44423</v>
      </c>
      <c r="N83" s="2">
        <f>K83/M83</f>
        <v>0.41280417801589264</v>
      </c>
    </row>
    <row r="84" spans="1:14">
      <c r="A84" s="65" t="s">
        <v>479</v>
      </c>
      <c r="B84" s="39" t="s">
        <v>247</v>
      </c>
      <c r="C84" s="40">
        <v>0.37690000000000001</v>
      </c>
      <c r="D84" s="40">
        <v>0.16389999999999999</v>
      </c>
      <c r="E84" s="40">
        <v>0.18770000000000001</v>
      </c>
      <c r="F84" s="40">
        <v>9.3979999999999994E-2</v>
      </c>
      <c r="G84" s="40">
        <v>0.108</v>
      </c>
      <c r="H84" s="40">
        <v>2.4899999999999999E-2</v>
      </c>
      <c r="I84" s="11">
        <v>0</v>
      </c>
      <c r="J84" s="2">
        <v>4.4499999999999998E-2</v>
      </c>
      <c r="K84" s="9">
        <v>25186</v>
      </c>
      <c r="L84" s="1" t="s">
        <v>235</v>
      </c>
      <c r="M84" s="9">
        <v>74311</v>
      </c>
      <c r="N84" s="8">
        <v>0.34110000000000001</v>
      </c>
    </row>
    <row r="85" spans="1:14">
      <c r="A85" s="65" t="s">
        <v>480</v>
      </c>
      <c r="B85" s="37" t="s">
        <v>209</v>
      </c>
      <c r="C85" s="31">
        <v>0.21574362</v>
      </c>
      <c r="D85" s="31">
        <v>0.22158269</v>
      </c>
      <c r="E85" s="31">
        <v>0.23288612</v>
      </c>
      <c r="F85" s="31">
        <v>0.11063002</v>
      </c>
      <c r="G85" s="31">
        <v>0.10552994</v>
      </c>
      <c r="H85" s="31">
        <v>2.581263E-2</v>
      </c>
      <c r="I85" s="11">
        <v>0</v>
      </c>
      <c r="J85" s="2">
        <v>8.7800000000000003E-2</v>
      </c>
      <c r="K85" s="9">
        <v>96077</v>
      </c>
      <c r="L85" s="1" t="s">
        <v>201</v>
      </c>
      <c r="M85" s="32">
        <v>252278</v>
      </c>
      <c r="N85" s="33">
        <v>0.38083781</v>
      </c>
    </row>
    <row r="86" spans="1:14">
      <c r="A86" s="65" t="s">
        <v>481</v>
      </c>
      <c r="B86" s="30" t="s">
        <v>169</v>
      </c>
      <c r="C86" s="31">
        <v>0.31799451000000001</v>
      </c>
      <c r="D86" s="31">
        <v>0.31072375999999996</v>
      </c>
      <c r="E86" s="31">
        <v>7.2210120000000003E-2</v>
      </c>
      <c r="F86" s="31">
        <v>0.12158962000000001</v>
      </c>
      <c r="G86" s="31">
        <v>0.11015063</v>
      </c>
      <c r="H86" s="31">
        <v>2.669098E-2</v>
      </c>
      <c r="I86" s="11">
        <v>0</v>
      </c>
      <c r="J86" s="2">
        <v>4.0599999999999997E-2</v>
      </c>
      <c r="K86" s="3">
        <v>42224</v>
      </c>
      <c r="L86" s="6" t="s">
        <v>155</v>
      </c>
      <c r="M86" s="32">
        <v>108534</v>
      </c>
      <c r="N86" s="33">
        <v>0.38903937999999999</v>
      </c>
    </row>
    <row r="87" spans="1:14">
      <c r="A87" s="65" t="s">
        <v>482</v>
      </c>
      <c r="B87" s="5" t="s">
        <v>9</v>
      </c>
      <c r="C87" s="2">
        <v>0.40168470000000001</v>
      </c>
      <c r="D87" s="2">
        <v>0.17045173</v>
      </c>
      <c r="E87" s="2">
        <v>0.14163018999999999</v>
      </c>
      <c r="F87" s="2">
        <v>9.6622349999999996E-2</v>
      </c>
      <c r="G87" s="2">
        <v>0.10731686999999999</v>
      </c>
      <c r="H87" s="2">
        <v>4.6329179999999998E-2</v>
      </c>
      <c r="I87" s="2">
        <v>0</v>
      </c>
      <c r="J87" s="2">
        <v>3.5964984999999998E-2</v>
      </c>
      <c r="K87" s="3">
        <v>24218</v>
      </c>
      <c r="L87" s="6" t="s">
        <v>8</v>
      </c>
      <c r="M87" s="7">
        <v>76980</v>
      </c>
      <c r="N87" s="2">
        <f>24218/M87</f>
        <v>0.31460119511561446</v>
      </c>
    </row>
    <row r="88" spans="1:14">
      <c r="A88" s="65" t="s">
        <v>483</v>
      </c>
      <c r="B88" s="39" t="s">
        <v>248</v>
      </c>
      <c r="C88" s="40">
        <v>0.4622</v>
      </c>
      <c r="D88" s="40">
        <v>0.13571</v>
      </c>
      <c r="E88" s="40">
        <v>0.12948999999999999</v>
      </c>
      <c r="F88" s="40">
        <v>8.5400000000000004E-2</v>
      </c>
      <c r="G88" s="40">
        <v>0.1067</v>
      </c>
      <c r="H88" s="40">
        <v>3.4599999999999999E-2</v>
      </c>
      <c r="I88" s="11">
        <v>0</v>
      </c>
      <c r="J88" s="2">
        <v>4.5499999999999999E-2</v>
      </c>
      <c r="K88" s="9">
        <v>25075</v>
      </c>
      <c r="L88" s="1" t="s">
        <v>235</v>
      </c>
      <c r="M88" s="9">
        <v>74940</v>
      </c>
      <c r="N88" s="8">
        <v>0.33600000000000002</v>
      </c>
    </row>
    <row r="89" spans="1:14">
      <c r="A89" s="65" t="s">
        <v>484</v>
      </c>
      <c r="B89" s="22" t="s">
        <v>94</v>
      </c>
      <c r="C89" s="2">
        <v>0.39500000000000002</v>
      </c>
      <c r="D89" s="2">
        <v>0.20499999999999999</v>
      </c>
      <c r="E89" s="2">
        <v>5.8000000000000003E-2</v>
      </c>
      <c r="F89" s="2">
        <v>0.112</v>
      </c>
      <c r="G89" s="2">
        <v>0.13700000000000001</v>
      </c>
      <c r="H89" s="2">
        <v>0.04</v>
      </c>
      <c r="I89" s="2">
        <v>0</v>
      </c>
      <c r="J89" s="2">
        <v>5.2999999999999999E-2</v>
      </c>
      <c r="K89" s="3">
        <v>26200</v>
      </c>
      <c r="L89" s="6" t="s">
        <v>83</v>
      </c>
      <c r="M89" s="3">
        <v>62969</v>
      </c>
      <c r="N89" s="2">
        <f>K89/M89</f>
        <v>0.41607775254490303</v>
      </c>
    </row>
    <row r="90" spans="1:14">
      <c r="A90" s="65" t="s">
        <v>485</v>
      </c>
      <c r="B90" s="5" t="s">
        <v>342</v>
      </c>
      <c r="C90" s="2">
        <v>0.3397</v>
      </c>
      <c r="D90" s="2">
        <v>0.1236</v>
      </c>
      <c r="E90" s="2">
        <v>0.13639999999999999</v>
      </c>
      <c r="F90" s="2">
        <v>6.13E-2</v>
      </c>
      <c r="G90" s="2">
        <v>9.5299999999999996E-2</v>
      </c>
      <c r="H90" s="2">
        <v>3.56E-2</v>
      </c>
      <c r="I90" s="53">
        <v>0.18196999999999999</v>
      </c>
      <c r="J90" s="2">
        <v>2.5999999999999999E-2</v>
      </c>
      <c r="K90" s="54">
        <v>26982</v>
      </c>
      <c r="L90" s="5" t="s">
        <v>334</v>
      </c>
      <c r="M90" s="32">
        <v>73227</v>
      </c>
      <c r="N90" s="2">
        <v>0.36847065000000001</v>
      </c>
    </row>
    <row r="91" spans="1:14">
      <c r="A91" s="65" t="s">
        <v>486</v>
      </c>
      <c r="B91" s="22" t="s">
        <v>95</v>
      </c>
      <c r="C91" s="2">
        <v>0.33300000000000002</v>
      </c>
      <c r="D91" s="2">
        <v>0.19500000000000001</v>
      </c>
      <c r="E91" s="2">
        <v>0.182</v>
      </c>
      <c r="F91" s="2">
        <v>9.1999999999999998E-2</v>
      </c>
      <c r="G91" s="2">
        <v>9.0999999999999998E-2</v>
      </c>
      <c r="H91" s="2">
        <v>7.2999999999999995E-2</v>
      </c>
      <c r="I91" s="2">
        <v>0</v>
      </c>
      <c r="J91" s="2">
        <v>3.5000000000000003E-2</v>
      </c>
      <c r="K91" s="3">
        <v>54298</v>
      </c>
      <c r="L91" s="6" t="s">
        <v>83</v>
      </c>
      <c r="M91" s="3">
        <v>171800</v>
      </c>
      <c r="N91" s="2">
        <f>K91/M91</f>
        <v>0.3160535506402794</v>
      </c>
    </row>
    <row r="92" spans="1:14">
      <c r="A92" s="65" t="s">
        <v>487</v>
      </c>
      <c r="B92" s="22" t="s">
        <v>96</v>
      </c>
      <c r="C92" s="2">
        <v>0.34</v>
      </c>
      <c r="D92" s="2">
        <v>0.24299999999999999</v>
      </c>
      <c r="E92" s="2">
        <v>6.6000000000000003E-2</v>
      </c>
      <c r="F92" s="2">
        <v>0.14899999999999999</v>
      </c>
      <c r="G92" s="2">
        <v>0.124</v>
      </c>
      <c r="H92" s="2">
        <v>3.6999999999999998E-2</v>
      </c>
      <c r="I92" s="2">
        <v>0</v>
      </c>
      <c r="J92" s="2">
        <v>4.2000000000000003E-2</v>
      </c>
      <c r="K92" s="3">
        <v>25510</v>
      </c>
      <c r="L92" s="6" t="s">
        <v>83</v>
      </c>
      <c r="M92" s="3">
        <v>57065</v>
      </c>
      <c r="N92" s="2">
        <f>K92/M92</f>
        <v>0.44703408393936739</v>
      </c>
    </row>
    <row r="93" spans="1:14">
      <c r="A93" s="65" t="s">
        <v>488</v>
      </c>
      <c r="B93" s="1" t="s">
        <v>66</v>
      </c>
      <c r="C93" s="2">
        <v>0.45</v>
      </c>
      <c r="D93" s="2">
        <v>8.8999999999999996E-2</v>
      </c>
      <c r="E93" s="2">
        <v>0.17100000000000001</v>
      </c>
      <c r="F93" s="2">
        <v>7.2999999999999995E-2</v>
      </c>
      <c r="G93" s="2">
        <v>6.2E-2</v>
      </c>
      <c r="H93" s="2">
        <v>5.8000000000000003E-2</v>
      </c>
      <c r="I93" s="2">
        <v>0</v>
      </c>
      <c r="J93" s="2">
        <v>9.7000000000000003E-2</v>
      </c>
      <c r="K93" s="3">
        <v>66680</v>
      </c>
      <c r="L93" s="6" t="s">
        <v>61</v>
      </c>
      <c r="M93" s="21">
        <v>217341</v>
      </c>
      <c r="N93" s="2">
        <f>K93/M93</f>
        <v>0.30679899328704663</v>
      </c>
    </row>
    <row r="94" spans="1:14">
      <c r="A94" s="65" t="s">
        <v>489</v>
      </c>
      <c r="B94" s="42" t="s">
        <v>308</v>
      </c>
      <c r="C94" s="43">
        <v>0.34250000000000003</v>
      </c>
      <c r="D94" s="43">
        <v>0.30220000000000002</v>
      </c>
      <c r="E94" s="43">
        <v>2.836E-2</v>
      </c>
      <c r="F94" s="43">
        <v>0.15049999999999999</v>
      </c>
      <c r="G94" s="43">
        <v>0.12470000000000001</v>
      </c>
      <c r="H94" s="43">
        <v>2.383E-2</v>
      </c>
      <c r="I94" s="2">
        <v>0</v>
      </c>
      <c r="J94" s="2">
        <v>3.7699999999999997E-2</v>
      </c>
      <c r="K94" s="3">
        <v>29999</v>
      </c>
      <c r="L94" s="1" t="s">
        <v>302</v>
      </c>
      <c r="M94" s="46">
        <v>69858</v>
      </c>
      <c r="N94" s="2">
        <v>0.41139999999999999</v>
      </c>
    </row>
    <row r="95" spans="1:14">
      <c r="A95" s="65" t="s">
        <v>490</v>
      </c>
      <c r="B95" s="39" t="s">
        <v>249</v>
      </c>
      <c r="C95" s="40">
        <v>0.4698</v>
      </c>
      <c r="D95" s="40">
        <v>0.16789999999999999</v>
      </c>
      <c r="E95" s="40">
        <v>9.1800000000000007E-2</v>
      </c>
      <c r="F95" s="40">
        <v>0.1139</v>
      </c>
      <c r="G95" s="40">
        <v>9.0700000000000003E-2</v>
      </c>
      <c r="H95" s="40">
        <v>2.3E-2</v>
      </c>
      <c r="I95" s="11">
        <v>0</v>
      </c>
      <c r="J95" s="2">
        <v>4.2700000000000002E-2</v>
      </c>
      <c r="K95" s="9">
        <v>33523</v>
      </c>
      <c r="L95" s="1" t="s">
        <v>235</v>
      </c>
      <c r="M95" s="9">
        <v>86034</v>
      </c>
      <c r="N95" s="8">
        <v>0.3921</v>
      </c>
    </row>
    <row r="96" spans="1:14">
      <c r="A96" s="65" t="s">
        <v>491</v>
      </c>
      <c r="B96" s="26" t="s">
        <v>129</v>
      </c>
      <c r="C96" s="2">
        <v>0.47399999999999998</v>
      </c>
      <c r="D96" s="2">
        <v>0.112</v>
      </c>
      <c r="E96" s="2">
        <v>0.14699999999999999</v>
      </c>
      <c r="F96" s="2">
        <v>7.3999999999999996E-2</v>
      </c>
      <c r="G96" s="2">
        <v>0.104</v>
      </c>
      <c r="H96" s="2">
        <v>6.2E-2</v>
      </c>
      <c r="I96" s="2">
        <v>0</v>
      </c>
      <c r="J96" s="2">
        <v>2.5999999999999999E-2</v>
      </c>
      <c r="K96" s="3">
        <v>72003</v>
      </c>
      <c r="L96" s="6" t="s">
        <v>124</v>
      </c>
      <c r="M96" s="27">
        <v>239167</v>
      </c>
      <c r="N96" s="2">
        <f>K96/M96</f>
        <v>0.30105742012903119</v>
      </c>
    </row>
    <row r="97" spans="1:14">
      <c r="A97" s="65" t="s">
        <v>492</v>
      </c>
      <c r="B97" s="55" t="s">
        <v>364</v>
      </c>
      <c r="C97" s="56">
        <v>0.21964745494157259</v>
      </c>
      <c r="D97" s="57">
        <v>9.9557425178563599E-2</v>
      </c>
      <c r="E97" s="57">
        <v>7.0264230314184301E-2</v>
      </c>
      <c r="F97" s="57">
        <v>6.8796284124271509E-2</v>
      </c>
      <c r="G97" s="56">
        <v>0.21144998028131984</v>
      </c>
      <c r="H97" s="56">
        <v>2.6787077634535261E-2</v>
      </c>
      <c r="I97" s="56">
        <v>0.27759519740589805</v>
      </c>
      <c r="J97" s="57">
        <v>2.6751676087813855E-2</v>
      </c>
      <c r="K97" s="58">
        <v>45642</v>
      </c>
      <c r="L97" s="1" t="s">
        <v>357</v>
      </c>
      <c r="M97" s="59">
        <v>112970</v>
      </c>
      <c r="N97" s="60">
        <v>0.40600000000000003</v>
      </c>
    </row>
    <row r="98" spans="1:14">
      <c r="A98" s="65" t="s">
        <v>493</v>
      </c>
      <c r="B98" s="55" t="s">
        <v>365</v>
      </c>
      <c r="C98" s="56">
        <v>0.14048714479025712</v>
      </c>
      <c r="D98" s="57">
        <v>9.3355284465076113E-2</v>
      </c>
      <c r="E98" s="57">
        <v>0.11410989960056138</v>
      </c>
      <c r="F98" s="57">
        <v>7.3086473064881793E-2</v>
      </c>
      <c r="G98" s="56">
        <v>8.083234373313182E-2</v>
      </c>
      <c r="H98" s="56">
        <v>1.733326155999354E-2</v>
      </c>
      <c r="I98" s="56">
        <v>0.46081183201986398</v>
      </c>
      <c r="J98" s="57">
        <v>2.0322789593004428E-2</v>
      </c>
      <c r="K98" s="58">
        <v>37052</v>
      </c>
      <c r="L98" s="1" t="s">
        <v>357</v>
      </c>
      <c r="M98" s="59">
        <v>104182</v>
      </c>
      <c r="N98" s="60">
        <v>0.35700000000000004</v>
      </c>
    </row>
    <row r="99" spans="1:14">
      <c r="A99" s="65" t="s">
        <v>494</v>
      </c>
      <c r="B99" s="5" t="s">
        <v>10</v>
      </c>
      <c r="C99" s="2">
        <v>0.39484892999999999</v>
      </c>
      <c r="D99" s="2">
        <v>0.16658719999999999</v>
      </c>
      <c r="E99" s="2">
        <v>0.19256503999999999</v>
      </c>
      <c r="F99" s="2">
        <v>8.1064540000000004E-2</v>
      </c>
      <c r="G99" s="2">
        <v>6.160301E-2</v>
      </c>
      <c r="H99" s="2">
        <v>6.2294380000000003E-2</v>
      </c>
      <c r="I99" s="2">
        <v>0</v>
      </c>
      <c r="J99" s="2">
        <v>4.1036889999999999E-2</v>
      </c>
      <c r="K99" s="3">
        <v>125838</v>
      </c>
      <c r="L99" s="6" t="s">
        <v>8</v>
      </c>
      <c r="M99" s="3">
        <v>384434</v>
      </c>
      <c r="N99" s="2">
        <f>125838/M99</f>
        <v>0.32733317032312437</v>
      </c>
    </row>
    <row r="100" spans="1:14">
      <c r="A100" s="65" t="s">
        <v>495</v>
      </c>
      <c r="B100" s="37" t="s">
        <v>210</v>
      </c>
      <c r="C100" s="31">
        <v>0.12963915000000001</v>
      </c>
      <c r="D100" s="31">
        <v>0.26089148000000001</v>
      </c>
      <c r="E100" s="31">
        <v>0.32143613000000004</v>
      </c>
      <c r="F100" s="31">
        <v>0.10605648000000001</v>
      </c>
      <c r="G100" s="31">
        <v>7.4770879999999998E-2</v>
      </c>
      <c r="H100" s="31">
        <v>1.7583660000000001E-2</v>
      </c>
      <c r="I100" s="11">
        <v>0</v>
      </c>
      <c r="J100" s="2">
        <v>8.9599999999999999E-2</v>
      </c>
      <c r="K100" s="9">
        <v>99183</v>
      </c>
      <c r="L100" s="1" t="s">
        <v>201</v>
      </c>
      <c r="M100" s="32">
        <v>220960</v>
      </c>
      <c r="N100" s="33">
        <v>0.44887309999999997</v>
      </c>
    </row>
    <row r="101" spans="1:14">
      <c r="A101" s="65" t="s">
        <v>496</v>
      </c>
      <c r="B101" s="55" t="s">
        <v>366</v>
      </c>
      <c r="C101" s="56">
        <v>0.16498217381349556</v>
      </c>
      <c r="D101" s="57">
        <v>7.9573608032337984E-2</v>
      </c>
      <c r="E101" s="57">
        <v>0.12928673881862043</v>
      </c>
      <c r="F101" s="57">
        <v>5.4668144477767633E-2</v>
      </c>
      <c r="G101" s="56">
        <v>0.11292215412700482</v>
      </c>
      <c r="H101" s="56">
        <v>2.1995516423535526E-2</v>
      </c>
      <c r="I101" s="56">
        <v>0.41129873516755772</v>
      </c>
      <c r="J101" s="57">
        <v>2.5753031686008607E-2</v>
      </c>
      <c r="K101" s="58">
        <v>30676</v>
      </c>
      <c r="L101" s="1" t="s">
        <v>357</v>
      </c>
      <c r="M101" s="59">
        <v>92593</v>
      </c>
      <c r="N101" s="60">
        <v>0.33200000000000002</v>
      </c>
    </row>
    <row r="102" spans="1:14">
      <c r="A102" s="65" t="s">
        <v>497</v>
      </c>
      <c r="B102" s="30" t="s">
        <v>170</v>
      </c>
      <c r="C102" s="31">
        <v>0.33718350999999996</v>
      </c>
      <c r="D102" s="31">
        <v>0.29407825999999998</v>
      </c>
      <c r="E102" s="31">
        <v>4.6202129999999994E-2</v>
      </c>
      <c r="F102" s="31">
        <v>0.14262397999999998</v>
      </c>
      <c r="G102" s="31">
        <v>0.10579619</v>
      </c>
      <c r="H102" s="31">
        <v>2.7913790000000001E-2</v>
      </c>
      <c r="I102" s="11">
        <v>0</v>
      </c>
      <c r="J102" s="2">
        <v>4.6199999999999998E-2</v>
      </c>
      <c r="K102" s="3">
        <v>23895</v>
      </c>
      <c r="L102" s="6" t="s">
        <v>155</v>
      </c>
      <c r="M102" s="32">
        <v>62826</v>
      </c>
      <c r="N102" s="33">
        <v>0.38033616999999997</v>
      </c>
    </row>
    <row r="103" spans="1:14">
      <c r="A103" s="65" t="s">
        <v>498</v>
      </c>
      <c r="B103" s="42" t="s">
        <v>310</v>
      </c>
      <c r="C103" s="43">
        <v>0.41420000000000001</v>
      </c>
      <c r="D103" s="43">
        <v>0.20300000000000001</v>
      </c>
      <c r="E103" s="43">
        <v>3.4700000000000002E-2</v>
      </c>
      <c r="F103" s="43">
        <v>0.17979999999999999</v>
      </c>
      <c r="G103" s="43">
        <v>8.9599999999999999E-2</v>
      </c>
      <c r="H103" s="43">
        <v>3.1969999999999998E-2</v>
      </c>
      <c r="I103" s="2">
        <v>0</v>
      </c>
      <c r="J103" s="2">
        <v>4.6399999999999997E-2</v>
      </c>
      <c r="K103" s="3">
        <v>47316</v>
      </c>
      <c r="L103" s="1" t="s">
        <v>302</v>
      </c>
      <c r="M103" s="44">
        <v>116981</v>
      </c>
      <c r="N103" s="2">
        <v>0.40689999999999998</v>
      </c>
    </row>
    <row r="104" spans="1:14">
      <c r="A104" s="65" t="s">
        <v>499</v>
      </c>
      <c r="B104" s="55" t="s">
        <v>367</v>
      </c>
      <c r="C104" s="56">
        <v>0.12362162022570565</v>
      </c>
      <c r="D104" s="57">
        <v>0.24754769444658994</v>
      </c>
      <c r="E104" s="57">
        <v>6.737725599237919E-2</v>
      </c>
      <c r="F104" s="57">
        <v>8.0121521073092866E-2</v>
      </c>
      <c r="G104" s="56">
        <v>0.10105301099353775</v>
      </c>
      <c r="H104" s="56">
        <v>1.2063964680818296E-2</v>
      </c>
      <c r="I104" s="56">
        <v>0.34535671069230967</v>
      </c>
      <c r="J104" s="57">
        <v>2.3197137045905099E-2</v>
      </c>
      <c r="K104" s="58">
        <v>38841</v>
      </c>
      <c r="L104" s="1" t="s">
        <v>357</v>
      </c>
      <c r="M104" s="59">
        <v>82699</v>
      </c>
      <c r="N104" s="60">
        <v>0.47100000000000003</v>
      </c>
    </row>
    <row r="105" spans="1:14">
      <c r="A105" s="65" t="s">
        <v>500</v>
      </c>
      <c r="B105" s="39" t="s">
        <v>250</v>
      </c>
      <c r="C105" s="40">
        <v>0.36130000000000001</v>
      </c>
      <c r="D105" s="40">
        <v>0.28739999999999999</v>
      </c>
      <c r="E105" s="40">
        <v>3.0360000000000002E-2</v>
      </c>
      <c r="F105" s="40">
        <v>0.13170000000000001</v>
      </c>
      <c r="G105" s="40">
        <v>0.12307999999999999</v>
      </c>
      <c r="H105" s="40">
        <v>1.8599999999999998E-2</v>
      </c>
      <c r="I105" s="11">
        <v>0</v>
      </c>
      <c r="J105" s="2">
        <v>4.7300000000000002E-2</v>
      </c>
      <c r="K105" s="9">
        <v>39655</v>
      </c>
      <c r="L105" s="1" t="s">
        <v>235</v>
      </c>
      <c r="M105" s="9">
        <v>91880</v>
      </c>
      <c r="N105" s="8">
        <v>0.43159556000000004</v>
      </c>
    </row>
    <row r="106" spans="1:14">
      <c r="A106" s="65" t="s">
        <v>501</v>
      </c>
      <c r="B106" s="30" t="s">
        <v>171</v>
      </c>
      <c r="C106" s="31">
        <v>0.34014055999999998</v>
      </c>
      <c r="D106" s="31">
        <v>0.26242930999999997</v>
      </c>
      <c r="E106" s="31">
        <v>5.2864479999999998E-2</v>
      </c>
      <c r="F106" s="31">
        <v>0.15599043999999998</v>
      </c>
      <c r="G106" s="31">
        <v>0.1172058</v>
      </c>
      <c r="H106" s="31">
        <v>2.5296389999999998E-2</v>
      </c>
      <c r="I106" s="11">
        <v>0</v>
      </c>
      <c r="J106" s="2">
        <v>4.5999999999999999E-2</v>
      </c>
      <c r="K106" s="3">
        <v>42259</v>
      </c>
      <c r="L106" s="6" t="s">
        <v>155</v>
      </c>
      <c r="M106" s="32">
        <v>106269</v>
      </c>
      <c r="N106" s="33">
        <v>0.39766064999999995</v>
      </c>
    </row>
    <row r="107" spans="1:14">
      <c r="A107" s="65" t="s">
        <v>502</v>
      </c>
      <c r="B107" s="22" t="s">
        <v>97</v>
      </c>
      <c r="C107" s="2">
        <v>0.53800000000000003</v>
      </c>
      <c r="D107" s="2">
        <v>0.111</v>
      </c>
      <c r="E107" s="2">
        <v>6.2E-2</v>
      </c>
      <c r="F107" s="2">
        <v>6.6000000000000003E-2</v>
      </c>
      <c r="G107" s="2">
        <v>0.11899999999999999</v>
      </c>
      <c r="H107" s="2">
        <v>6.7000000000000004E-2</v>
      </c>
      <c r="I107" s="2">
        <v>0</v>
      </c>
      <c r="J107" s="2">
        <v>3.6999999999999998E-2</v>
      </c>
      <c r="K107" s="3">
        <v>38022</v>
      </c>
      <c r="L107" s="6" t="s">
        <v>83</v>
      </c>
      <c r="M107" s="3">
        <v>108863</v>
      </c>
      <c r="N107" s="2">
        <f>K107/M107</f>
        <v>0.34926467211081819</v>
      </c>
    </row>
    <row r="108" spans="1:14">
      <c r="A108" s="65" t="s">
        <v>503</v>
      </c>
      <c r="B108" s="55" t="s">
        <v>368</v>
      </c>
      <c r="C108" s="56">
        <v>0.13363752945035937</v>
      </c>
      <c r="D108" s="57">
        <v>0.15110674759014639</v>
      </c>
      <c r="E108" s="57">
        <v>0.11858859930977032</v>
      </c>
      <c r="F108" s="57">
        <v>9.2080209449006301E-2</v>
      </c>
      <c r="G108" s="56">
        <v>0.13789717957872188</v>
      </c>
      <c r="H108" s="56">
        <v>1.5789629893449678E-2</v>
      </c>
      <c r="I108" s="56">
        <v>0.3270260621206712</v>
      </c>
      <c r="J108" s="57">
        <v>2.4158038795668215E-2</v>
      </c>
      <c r="K108" s="58">
        <v>33612</v>
      </c>
      <c r="L108" s="1" t="s">
        <v>357</v>
      </c>
      <c r="M108" s="59">
        <v>78630</v>
      </c>
      <c r="N108" s="60">
        <v>0.42899999999999999</v>
      </c>
    </row>
    <row r="109" spans="1:14">
      <c r="A109" s="65" t="s">
        <v>504</v>
      </c>
      <c r="B109" s="22" t="s">
        <v>98</v>
      </c>
      <c r="C109" s="2">
        <v>0.41299999999999998</v>
      </c>
      <c r="D109" s="2">
        <v>0.20100000000000001</v>
      </c>
      <c r="E109" s="2">
        <v>6.7000000000000004E-2</v>
      </c>
      <c r="F109" s="2">
        <v>9.9000000000000005E-2</v>
      </c>
      <c r="G109" s="2">
        <v>0.13200000000000001</v>
      </c>
      <c r="H109" s="2">
        <v>4.7E-2</v>
      </c>
      <c r="I109" s="2">
        <v>0</v>
      </c>
      <c r="J109" s="2">
        <v>4.1000000000000002E-2</v>
      </c>
      <c r="K109" s="3">
        <v>26524</v>
      </c>
      <c r="L109" s="6" t="s">
        <v>83</v>
      </c>
      <c r="M109" s="3">
        <v>69253</v>
      </c>
      <c r="N109" s="2">
        <f>K109/M109</f>
        <v>0.38300145842057381</v>
      </c>
    </row>
    <row r="110" spans="1:14">
      <c r="A110" s="65" t="s">
        <v>505</v>
      </c>
      <c r="B110" s="55" t="s">
        <v>369</v>
      </c>
      <c r="C110" s="56">
        <v>0.11923990498812352</v>
      </c>
      <c r="D110" s="57">
        <v>0.16230846595278944</v>
      </c>
      <c r="E110" s="57">
        <v>8.3831272555167716E-2</v>
      </c>
      <c r="F110" s="57">
        <v>7.5726202449269364E-2</v>
      </c>
      <c r="G110" s="56">
        <v>0.17446607111163698</v>
      </c>
      <c r="H110" s="56">
        <v>1.2259813745137333E-2</v>
      </c>
      <c r="I110" s="56">
        <v>0.33621250665562324</v>
      </c>
      <c r="J110" s="57">
        <v>3.6354493285215644E-2</v>
      </c>
      <c r="K110" s="58">
        <v>33806</v>
      </c>
      <c r="L110" s="1" t="s">
        <v>357</v>
      </c>
      <c r="M110" s="59">
        <v>70095</v>
      </c>
      <c r="N110" s="60">
        <v>0.48399999999999999</v>
      </c>
    </row>
    <row r="111" spans="1:14">
      <c r="A111" s="65" t="s">
        <v>506</v>
      </c>
      <c r="B111" s="1" t="s">
        <v>67</v>
      </c>
      <c r="C111" s="2">
        <v>0.44400000000000001</v>
      </c>
      <c r="D111" s="2">
        <v>0.157</v>
      </c>
      <c r="E111" s="2">
        <v>6.8000000000000005E-2</v>
      </c>
      <c r="F111" s="2">
        <v>9.6000000000000002E-2</v>
      </c>
      <c r="G111" s="2">
        <v>0.107</v>
      </c>
      <c r="H111" s="2">
        <v>4.3999999999999997E-2</v>
      </c>
      <c r="I111" s="2">
        <v>0</v>
      </c>
      <c r="J111" s="2">
        <v>8.2000000000000003E-2</v>
      </c>
      <c r="K111" s="3">
        <v>88816</v>
      </c>
      <c r="L111" s="6" t="s">
        <v>61</v>
      </c>
      <c r="M111" s="21">
        <v>264138</v>
      </c>
      <c r="N111" s="2">
        <f>K111/M111</f>
        <v>0.3362484761753326</v>
      </c>
    </row>
    <row r="112" spans="1:14">
      <c r="A112" s="65" t="s">
        <v>507</v>
      </c>
      <c r="B112" s="26" t="s">
        <v>130</v>
      </c>
      <c r="C112" s="2">
        <v>0.41799999999999998</v>
      </c>
      <c r="D112" s="2">
        <v>0.14599999999999999</v>
      </c>
      <c r="E112" s="2">
        <v>0.123</v>
      </c>
      <c r="F112" s="2">
        <v>8.2000000000000003E-2</v>
      </c>
      <c r="G112" s="2">
        <v>0.14000000000000001</v>
      </c>
      <c r="H112" s="2">
        <v>5.1999999999999998E-2</v>
      </c>
      <c r="I112" s="2">
        <v>0</v>
      </c>
      <c r="J112" s="2">
        <v>3.9E-2</v>
      </c>
      <c r="K112" s="3">
        <v>27369</v>
      </c>
      <c r="L112" s="6" t="s">
        <v>124</v>
      </c>
      <c r="M112" s="27">
        <v>82669</v>
      </c>
      <c r="N112" s="2">
        <f>K112/M112</f>
        <v>0.33106726826258936</v>
      </c>
    </row>
    <row r="113" spans="1:14">
      <c r="A113" s="65" t="s">
        <v>508</v>
      </c>
      <c r="B113" s="30" t="s">
        <v>172</v>
      </c>
      <c r="C113" s="31">
        <v>0.39314459000000002</v>
      </c>
      <c r="D113" s="31">
        <v>0.19686278000000001</v>
      </c>
      <c r="E113" s="31">
        <v>6.8157339999999997E-2</v>
      </c>
      <c r="F113" s="31">
        <v>0.15996428999999998</v>
      </c>
      <c r="G113" s="31">
        <v>0.10993028000000001</v>
      </c>
      <c r="H113" s="31">
        <v>3.2349940000000001E-2</v>
      </c>
      <c r="I113" s="11">
        <v>0</v>
      </c>
      <c r="J113" s="2">
        <v>3.95E-2</v>
      </c>
      <c r="K113" s="9">
        <v>70580</v>
      </c>
      <c r="L113" s="6" t="s">
        <v>155</v>
      </c>
      <c r="M113" s="32">
        <v>190341</v>
      </c>
      <c r="N113" s="33">
        <v>0.37076614999999996</v>
      </c>
    </row>
    <row r="114" spans="1:14">
      <c r="A114" s="65" t="s">
        <v>509</v>
      </c>
      <c r="B114" s="39" t="s">
        <v>251</v>
      </c>
      <c r="C114" s="40">
        <v>0.41839999999999999</v>
      </c>
      <c r="D114" s="40">
        <v>0.26640000000000003</v>
      </c>
      <c r="E114" s="40">
        <v>5.45E-2</v>
      </c>
      <c r="F114" s="40">
        <v>0.1128</v>
      </c>
      <c r="G114" s="40">
        <v>8.9899999999999994E-2</v>
      </c>
      <c r="H114" s="40">
        <v>2.2346000000000001E-2</v>
      </c>
      <c r="I114" s="11">
        <v>0</v>
      </c>
      <c r="J114" s="2">
        <v>3.4099999999999998E-2</v>
      </c>
      <c r="K114" s="9">
        <v>28066</v>
      </c>
      <c r="L114" s="1" t="s">
        <v>235</v>
      </c>
      <c r="M114" s="9">
        <v>72875</v>
      </c>
      <c r="N114" s="8">
        <v>0.38700000000000001</v>
      </c>
    </row>
    <row r="115" spans="1:14">
      <c r="A115" s="65" t="s">
        <v>510</v>
      </c>
      <c r="B115" s="39" t="s">
        <v>252</v>
      </c>
      <c r="C115" s="40">
        <v>0.38800000000000001</v>
      </c>
      <c r="D115" s="40">
        <v>0.308</v>
      </c>
      <c r="E115" s="40">
        <v>4.3799999999999999E-2</v>
      </c>
      <c r="F115" s="40">
        <v>0.1065</v>
      </c>
      <c r="G115" s="40">
        <v>8.43E-2</v>
      </c>
      <c r="H115" s="40">
        <v>2.52E-2</v>
      </c>
      <c r="I115" s="11">
        <v>0</v>
      </c>
      <c r="J115" s="2">
        <v>4.1000000000000002E-2</v>
      </c>
      <c r="K115" s="9">
        <v>35862</v>
      </c>
      <c r="L115" s="1" t="s">
        <v>235</v>
      </c>
      <c r="M115" s="9">
        <v>98572</v>
      </c>
      <c r="N115" s="8">
        <v>0.36381528000000002</v>
      </c>
    </row>
    <row r="116" spans="1:14">
      <c r="A116" s="65" t="s">
        <v>511</v>
      </c>
      <c r="B116" s="1" t="s">
        <v>34</v>
      </c>
      <c r="C116" s="2">
        <v>0.35299999999999998</v>
      </c>
      <c r="D116" s="2">
        <v>0.23</v>
      </c>
      <c r="E116" s="2">
        <v>5.5E-2</v>
      </c>
      <c r="F116" s="2">
        <v>0.161</v>
      </c>
      <c r="G116" s="2">
        <v>0.124</v>
      </c>
      <c r="H116" s="2">
        <v>2.9000000000000001E-2</v>
      </c>
      <c r="I116" s="2">
        <v>0</v>
      </c>
      <c r="J116" s="2">
        <v>4.8000000000000001E-2</v>
      </c>
      <c r="K116" s="13">
        <v>16108</v>
      </c>
      <c r="L116" s="3" t="s">
        <v>21</v>
      </c>
      <c r="M116" s="3">
        <v>41949</v>
      </c>
      <c r="N116" s="2">
        <v>0.38400000000000001</v>
      </c>
    </row>
    <row r="117" spans="1:14">
      <c r="A117" s="65" t="s">
        <v>512</v>
      </c>
      <c r="B117" s="39" t="s">
        <v>253</v>
      </c>
      <c r="C117" s="40">
        <v>0.27579999999999999</v>
      </c>
      <c r="D117" s="40">
        <v>0.38850000000000001</v>
      </c>
      <c r="E117" s="40">
        <v>3.6769999999999997E-2</v>
      </c>
      <c r="F117" s="40">
        <v>0.1033</v>
      </c>
      <c r="G117" s="40">
        <v>0.12139999999999999</v>
      </c>
      <c r="H117" s="40">
        <v>1.26E-2</v>
      </c>
      <c r="I117" s="11">
        <v>0</v>
      </c>
      <c r="J117" s="2">
        <v>6.0999999999999999E-2</v>
      </c>
      <c r="K117" s="9">
        <v>42230</v>
      </c>
      <c r="L117" s="1" t="s">
        <v>235</v>
      </c>
      <c r="M117" s="9">
        <v>95794</v>
      </c>
      <c r="N117" s="8">
        <v>0.44299999999999995</v>
      </c>
    </row>
    <row r="118" spans="1:14">
      <c r="A118" s="65" t="s">
        <v>513</v>
      </c>
      <c r="B118" s="37" t="s">
        <v>211</v>
      </c>
      <c r="C118" s="31">
        <v>0.19432027999999998</v>
      </c>
      <c r="D118" s="31">
        <v>0.2084599</v>
      </c>
      <c r="E118" s="31">
        <v>0.30299373000000002</v>
      </c>
      <c r="F118" s="31">
        <v>0.10298311</v>
      </c>
      <c r="G118" s="31">
        <v>8.623045E-2</v>
      </c>
      <c r="H118" s="31">
        <v>2.3676569999999997E-2</v>
      </c>
      <c r="I118" s="11">
        <v>0</v>
      </c>
      <c r="J118" s="2">
        <v>8.1299999999999997E-2</v>
      </c>
      <c r="K118" s="9">
        <v>75391</v>
      </c>
      <c r="L118" s="1" t="s">
        <v>201</v>
      </c>
      <c r="M118" s="32">
        <v>198648</v>
      </c>
      <c r="N118" s="33">
        <v>0.37952056000000001</v>
      </c>
    </row>
    <row r="119" spans="1:14">
      <c r="A119" s="65" t="s">
        <v>514</v>
      </c>
      <c r="B119" s="30" t="s">
        <v>173</v>
      </c>
      <c r="C119" s="31">
        <v>0.44989327000000001</v>
      </c>
      <c r="D119" s="31">
        <v>0.18610268999999999</v>
      </c>
      <c r="E119" s="31">
        <v>6.5076960000000003E-2</v>
      </c>
      <c r="F119" s="31">
        <v>0.10378047</v>
      </c>
      <c r="G119" s="31">
        <v>0.11964948</v>
      </c>
      <c r="H119" s="31">
        <v>3.3086169999999998E-2</v>
      </c>
      <c r="I119" s="11">
        <v>0</v>
      </c>
      <c r="J119" s="2">
        <v>4.24E-2</v>
      </c>
      <c r="K119" s="3">
        <v>35604</v>
      </c>
      <c r="L119" s="6" t="s">
        <v>155</v>
      </c>
      <c r="M119" s="32">
        <v>99041</v>
      </c>
      <c r="N119" s="33">
        <v>0.35948748000000003</v>
      </c>
    </row>
    <row r="120" spans="1:14">
      <c r="A120" s="65" t="s">
        <v>515</v>
      </c>
      <c r="B120" s="39" t="s">
        <v>254</v>
      </c>
      <c r="C120" s="40">
        <v>0.32729999999999998</v>
      </c>
      <c r="D120" s="40">
        <v>0.32369999999999999</v>
      </c>
      <c r="E120" s="40">
        <v>6.0499999999999998E-2</v>
      </c>
      <c r="F120" s="40">
        <v>0.113</v>
      </c>
      <c r="G120" s="40">
        <v>9.2100000000000001E-2</v>
      </c>
      <c r="H120" s="40">
        <v>1.61E-2</v>
      </c>
      <c r="I120" s="11">
        <v>0</v>
      </c>
      <c r="J120" s="2">
        <v>6.7000000000000004E-2</v>
      </c>
      <c r="K120" s="9">
        <v>23105</v>
      </c>
      <c r="L120" s="1" t="s">
        <v>235</v>
      </c>
      <c r="M120" s="9">
        <v>56330</v>
      </c>
      <c r="N120" s="8">
        <v>0.41200000000000003</v>
      </c>
    </row>
    <row r="121" spans="1:14">
      <c r="A121" s="65" t="s">
        <v>516</v>
      </c>
      <c r="B121" s="22" t="s">
        <v>99</v>
      </c>
      <c r="C121" s="2">
        <v>0.40300000000000002</v>
      </c>
      <c r="D121" s="2">
        <v>0.157</v>
      </c>
      <c r="E121" s="2">
        <v>0.125</v>
      </c>
      <c r="F121" s="2">
        <v>0.121</v>
      </c>
      <c r="G121" s="2">
        <v>0.104</v>
      </c>
      <c r="H121" s="2">
        <v>5.0999999999999997E-2</v>
      </c>
      <c r="I121" s="2">
        <v>0</v>
      </c>
      <c r="J121" s="2">
        <v>0.04</v>
      </c>
      <c r="K121" s="3">
        <v>29361</v>
      </c>
      <c r="L121" s="6" t="s">
        <v>83</v>
      </c>
      <c r="M121" s="3">
        <v>86471</v>
      </c>
      <c r="N121" s="2">
        <f>K121/M121</f>
        <v>0.33954736269963343</v>
      </c>
    </row>
    <row r="122" spans="1:14">
      <c r="A122" s="65" t="s">
        <v>517</v>
      </c>
      <c r="B122" s="42" t="s">
        <v>311</v>
      </c>
      <c r="C122" s="43">
        <v>0.28066000000000002</v>
      </c>
      <c r="D122" s="43">
        <v>0.20219999999999999</v>
      </c>
      <c r="E122" s="43">
        <v>0.12280000000000001</v>
      </c>
      <c r="F122" s="43">
        <v>0.27228000000000002</v>
      </c>
      <c r="G122" s="43">
        <v>5.8900000000000001E-2</v>
      </c>
      <c r="H122" s="43">
        <v>2.6599999999999999E-2</v>
      </c>
      <c r="I122" s="2">
        <v>0</v>
      </c>
      <c r="J122" s="2">
        <v>3.5999999999999997E-2</v>
      </c>
      <c r="K122" s="3">
        <v>35779</v>
      </c>
      <c r="L122" s="1" t="s">
        <v>302</v>
      </c>
      <c r="M122" s="44">
        <v>88633</v>
      </c>
      <c r="N122" s="2">
        <v>0.40529999999999999</v>
      </c>
    </row>
    <row r="123" spans="1:14">
      <c r="A123" s="65" t="s">
        <v>518</v>
      </c>
      <c r="B123" s="55" t="s">
        <v>371</v>
      </c>
      <c r="C123" s="56">
        <v>0.17049242785027147</v>
      </c>
      <c r="D123" s="57">
        <v>9.1042863245834715E-2</v>
      </c>
      <c r="E123" s="57">
        <v>9.8068068543219256E-2</v>
      </c>
      <c r="F123" s="57">
        <v>6.4484739165519528E-2</v>
      </c>
      <c r="G123" s="56">
        <v>9.2870365975221914E-2</v>
      </c>
      <c r="H123" s="56">
        <v>2.2047691143073429E-2</v>
      </c>
      <c r="I123" s="56">
        <v>0.42962927801775286</v>
      </c>
      <c r="J123" s="57">
        <v>3.1850761855033938E-2</v>
      </c>
      <c r="K123" s="58">
        <v>42134</v>
      </c>
      <c r="L123" s="1" t="s">
        <v>357</v>
      </c>
      <c r="M123" s="59">
        <v>118907</v>
      </c>
      <c r="N123" s="60">
        <v>0.35600000000000004</v>
      </c>
    </row>
    <row r="124" spans="1:14">
      <c r="A124" s="65" t="s">
        <v>519</v>
      </c>
      <c r="B124" s="39" t="s">
        <v>255</v>
      </c>
      <c r="C124" s="40">
        <v>0.43290000000000001</v>
      </c>
      <c r="D124" s="40">
        <v>0.2301</v>
      </c>
      <c r="E124" s="40">
        <v>3.9199999999999999E-2</v>
      </c>
      <c r="F124" s="40">
        <v>0.112</v>
      </c>
      <c r="G124" s="40">
        <v>0.1153</v>
      </c>
      <c r="H124" s="40">
        <v>2.4500000000000001E-2</v>
      </c>
      <c r="I124" s="11">
        <v>0</v>
      </c>
      <c r="J124" s="2">
        <v>4.5699999999999998E-2</v>
      </c>
      <c r="K124" s="9">
        <v>36728</v>
      </c>
      <c r="L124" s="1" t="s">
        <v>235</v>
      </c>
      <c r="M124" s="9">
        <v>90584</v>
      </c>
      <c r="N124" s="8">
        <v>0.40799999999999997</v>
      </c>
    </row>
    <row r="125" spans="1:14">
      <c r="A125" s="65" t="s">
        <v>520</v>
      </c>
      <c r="B125" s="30" t="s">
        <v>174</v>
      </c>
      <c r="C125" s="31">
        <v>0.51885983000000002</v>
      </c>
      <c r="D125" s="31">
        <v>0.1141076</v>
      </c>
      <c r="E125" s="31">
        <v>5.7370009999999999E-2</v>
      </c>
      <c r="F125" s="31">
        <v>7.9821110000000001E-2</v>
      </c>
      <c r="G125" s="31">
        <v>0.13104757</v>
      </c>
      <c r="H125" s="31">
        <v>5.6918280000000002E-2</v>
      </c>
      <c r="I125" s="11">
        <v>0</v>
      </c>
      <c r="J125" s="2">
        <v>4.1799999999999997E-2</v>
      </c>
      <c r="K125" s="3">
        <v>22137</v>
      </c>
      <c r="L125" s="6" t="s">
        <v>155</v>
      </c>
      <c r="M125" s="32">
        <v>71114</v>
      </c>
      <c r="N125" s="33">
        <v>0.31128892000000002</v>
      </c>
    </row>
    <row r="126" spans="1:14">
      <c r="A126" s="65" t="s">
        <v>521</v>
      </c>
      <c r="B126" s="55" t="s">
        <v>372</v>
      </c>
      <c r="C126" s="56">
        <v>0.15998700069775668</v>
      </c>
      <c r="D126" s="57">
        <v>0.16454815718260471</v>
      </c>
      <c r="E126" s="57">
        <v>9.7343446278156803E-2</v>
      </c>
      <c r="F126" s="57">
        <v>6.7261882074932347E-2</v>
      </c>
      <c r="G126" s="56">
        <v>9.4484887753935279E-2</v>
      </c>
      <c r="H126" s="56">
        <v>1.8636903348373309E-2</v>
      </c>
      <c r="I126" s="56">
        <v>0.37586233182147349</v>
      </c>
      <c r="J126" s="57">
        <v>2.2315813545755993E-2</v>
      </c>
      <c r="K126" s="58">
        <v>104948</v>
      </c>
      <c r="L126" s="1" t="s">
        <v>357</v>
      </c>
      <c r="M126" s="59">
        <v>270478</v>
      </c>
      <c r="N126" s="60">
        <v>0.38900000000000001</v>
      </c>
    </row>
    <row r="127" spans="1:14">
      <c r="A127" s="65" t="s">
        <v>522</v>
      </c>
      <c r="B127" s="5" t="s">
        <v>343</v>
      </c>
      <c r="C127" s="2">
        <v>0.38</v>
      </c>
      <c r="D127" s="2">
        <v>0.1447</v>
      </c>
      <c r="E127" s="2">
        <v>0.15640000000000001</v>
      </c>
      <c r="F127" s="2">
        <v>6.2799999999999995E-2</v>
      </c>
      <c r="G127" s="2">
        <v>7.9299999999999995E-2</v>
      </c>
      <c r="H127" s="2">
        <v>3.61E-2</v>
      </c>
      <c r="I127" s="53">
        <v>0.107</v>
      </c>
      <c r="J127" s="2">
        <v>3.3700000000000001E-2</v>
      </c>
      <c r="K127" s="54">
        <v>41089</v>
      </c>
      <c r="L127" s="5" t="s">
        <v>334</v>
      </c>
      <c r="M127" s="32">
        <v>115753</v>
      </c>
      <c r="N127" s="2">
        <v>0.32041501999999999</v>
      </c>
    </row>
    <row r="128" spans="1:14">
      <c r="A128" s="65" t="s">
        <v>396</v>
      </c>
      <c r="B128" s="39" t="s">
        <v>767</v>
      </c>
      <c r="C128" s="40">
        <v>0.48349999999999999</v>
      </c>
      <c r="D128" s="40">
        <v>0.15559999999999999</v>
      </c>
      <c r="E128" s="40">
        <v>5.96E-2</v>
      </c>
      <c r="F128" s="40">
        <v>0.154</v>
      </c>
      <c r="G128" s="40">
        <v>7.9799999999999996E-2</v>
      </c>
      <c r="H128" s="40">
        <v>2.7799999999999998E-2</v>
      </c>
      <c r="I128" s="11">
        <v>0</v>
      </c>
      <c r="J128" s="2">
        <v>3.9399999999999998E-2</v>
      </c>
      <c r="K128" s="9">
        <v>32417</v>
      </c>
      <c r="L128" s="1" t="s">
        <v>235</v>
      </c>
      <c r="M128" s="9">
        <v>84430</v>
      </c>
      <c r="N128" s="8">
        <v>0.38619999999999999</v>
      </c>
    </row>
    <row r="129" spans="1:14">
      <c r="A129" s="65" t="s">
        <v>523</v>
      </c>
      <c r="B129" s="42" t="s">
        <v>312</v>
      </c>
      <c r="C129" s="43">
        <v>0.41749999999999998</v>
      </c>
      <c r="D129" s="43">
        <v>0.16830000000000001</v>
      </c>
      <c r="E129" s="43">
        <v>7.2499999999999995E-2</v>
      </c>
      <c r="F129" s="43">
        <v>0.17760000000000001</v>
      </c>
      <c r="G129" s="43">
        <v>9.1300000000000006E-2</v>
      </c>
      <c r="H129" s="43">
        <v>3.56E-2</v>
      </c>
      <c r="I129" s="2">
        <v>0</v>
      </c>
      <c r="J129" s="2">
        <v>3.6999999999999998E-2</v>
      </c>
      <c r="K129" s="3">
        <v>25275</v>
      </c>
      <c r="L129" s="1" t="s">
        <v>302</v>
      </c>
      <c r="M129" s="44">
        <v>67048</v>
      </c>
      <c r="N129" s="2">
        <v>0.37940000000000002</v>
      </c>
    </row>
    <row r="130" spans="1:14">
      <c r="A130" s="65" t="s">
        <v>524</v>
      </c>
      <c r="B130" s="17" t="s">
        <v>35</v>
      </c>
      <c r="C130" s="16">
        <v>0.41799999999999998</v>
      </c>
      <c r="D130" s="16">
        <v>0.16800000000000001</v>
      </c>
      <c r="E130" s="16">
        <v>7.0999999999999994E-2</v>
      </c>
      <c r="F130" s="16">
        <v>0.112</v>
      </c>
      <c r="G130" s="16">
        <v>0.13100000000000001</v>
      </c>
      <c r="H130" s="16">
        <v>3.4000000000000002E-2</v>
      </c>
      <c r="I130" s="2">
        <v>0</v>
      </c>
      <c r="J130" s="2">
        <v>6.6000000000000003E-2</v>
      </c>
      <c r="K130" s="13">
        <v>22501</v>
      </c>
      <c r="L130" s="3" t="s">
        <v>21</v>
      </c>
      <c r="M130" s="14">
        <v>61226</v>
      </c>
      <c r="N130" s="15">
        <v>0.36799999999999999</v>
      </c>
    </row>
    <row r="131" spans="1:14">
      <c r="A131" s="65" t="s">
        <v>525</v>
      </c>
      <c r="B131" s="5" t="s">
        <v>11</v>
      </c>
      <c r="C131" s="2">
        <v>0.36899999999999999</v>
      </c>
      <c r="D131" s="2">
        <v>0.17699999999999999</v>
      </c>
      <c r="E131" s="2">
        <v>0.23400000000000001</v>
      </c>
      <c r="F131" s="2">
        <v>8.1000000000000003E-2</v>
      </c>
      <c r="G131" s="2">
        <v>4.8000000000000001E-2</v>
      </c>
      <c r="H131" s="2">
        <v>5.8999999999999997E-2</v>
      </c>
      <c r="I131" s="2">
        <v>0</v>
      </c>
      <c r="J131" s="2">
        <v>3.3000000000000002E-2</v>
      </c>
      <c r="K131" s="3">
        <v>48362</v>
      </c>
      <c r="L131" s="6" t="s">
        <v>8</v>
      </c>
      <c r="M131" s="3">
        <v>142641</v>
      </c>
      <c r="N131" s="2">
        <f>48362/M131</f>
        <v>0.33904697807783174</v>
      </c>
    </row>
    <row r="132" spans="1:14">
      <c r="A132" s="65" t="s">
        <v>526</v>
      </c>
      <c r="B132" s="22" t="s">
        <v>100</v>
      </c>
      <c r="C132" s="2">
        <v>0.37</v>
      </c>
      <c r="D132" s="2">
        <v>0.17299999999999999</v>
      </c>
      <c r="E132" s="2">
        <v>0.151</v>
      </c>
      <c r="F132" s="2">
        <v>0.126</v>
      </c>
      <c r="G132" s="2">
        <v>8.7999999999999995E-2</v>
      </c>
      <c r="H132" s="2">
        <v>4.8000000000000001E-2</v>
      </c>
      <c r="I132" s="2">
        <v>0</v>
      </c>
      <c r="J132" s="2">
        <v>4.4999999999999998E-2</v>
      </c>
      <c r="K132" s="3">
        <v>31851</v>
      </c>
      <c r="L132" s="6" t="s">
        <v>83</v>
      </c>
      <c r="M132" s="3">
        <v>87510</v>
      </c>
      <c r="N132" s="2">
        <f>K132/M132</f>
        <v>0.3639698320191978</v>
      </c>
    </row>
    <row r="133" spans="1:14">
      <c r="A133" s="65"/>
      <c r="B133" s="47" t="s">
        <v>313</v>
      </c>
      <c r="C133" s="43">
        <v>7.9899999999999999E-2</v>
      </c>
      <c r="D133" s="43">
        <v>0.77370000000000005</v>
      </c>
      <c r="E133" s="43">
        <v>4.3999999999999997E-2</v>
      </c>
      <c r="F133" s="43">
        <v>0.05</v>
      </c>
      <c r="G133" s="43">
        <v>2.7400000000000001E-2</v>
      </c>
      <c r="H133" s="43">
        <v>8.9999999999999993E-3</v>
      </c>
      <c r="I133" s="2">
        <v>0</v>
      </c>
      <c r="J133" s="2">
        <v>1.5599999999999999E-2</v>
      </c>
      <c r="K133" s="3">
        <v>9331</v>
      </c>
      <c r="L133" s="1" t="s">
        <v>302</v>
      </c>
      <c r="M133" s="44">
        <v>23726</v>
      </c>
      <c r="N133" s="2">
        <v>0.39789999999999998</v>
      </c>
    </row>
    <row r="134" spans="1:14">
      <c r="A134" s="65" t="s">
        <v>527</v>
      </c>
      <c r="B134" s="42" t="s">
        <v>314</v>
      </c>
      <c r="C134" s="43">
        <v>0.38550000000000001</v>
      </c>
      <c r="D134" s="43">
        <v>0.19400000000000001</v>
      </c>
      <c r="E134" s="43">
        <v>0.1192</v>
      </c>
      <c r="F134" s="43">
        <v>0.126</v>
      </c>
      <c r="G134" s="43">
        <v>0.10059999999999999</v>
      </c>
      <c r="H134" s="43">
        <v>3.7600000000000001E-2</v>
      </c>
      <c r="I134" s="2">
        <v>0</v>
      </c>
      <c r="J134" s="8">
        <v>3.5999999999999997E-2</v>
      </c>
      <c r="K134" s="3">
        <v>29732</v>
      </c>
      <c r="L134" s="1" t="s">
        <v>302</v>
      </c>
      <c r="M134" s="44">
        <v>84688</v>
      </c>
      <c r="N134" s="2">
        <v>0.35339999999999999</v>
      </c>
    </row>
    <row r="135" spans="1:14">
      <c r="A135" s="65" t="s">
        <v>528</v>
      </c>
      <c r="B135" s="39" t="s">
        <v>256</v>
      </c>
      <c r="C135" s="40">
        <v>0.50429999999999997</v>
      </c>
      <c r="D135" s="40">
        <v>0.1532</v>
      </c>
      <c r="E135" s="40">
        <v>5.8400000000000001E-2</v>
      </c>
      <c r="F135" s="40">
        <v>0.1026</v>
      </c>
      <c r="G135" s="40">
        <v>0.1062</v>
      </c>
      <c r="H135" s="40">
        <v>3.5000000000000003E-2</v>
      </c>
      <c r="I135" s="11">
        <v>0</v>
      </c>
      <c r="J135" s="2">
        <v>0.04</v>
      </c>
      <c r="K135" s="9">
        <v>21148</v>
      </c>
      <c r="L135" s="1" t="s">
        <v>235</v>
      </c>
      <c r="M135" s="9">
        <v>61356</v>
      </c>
      <c r="N135" s="8">
        <v>0.35</v>
      </c>
    </row>
    <row r="136" spans="1:14">
      <c r="A136" s="65" t="s">
        <v>529</v>
      </c>
      <c r="B136" s="39" t="s">
        <v>257</v>
      </c>
      <c r="C136" s="40">
        <v>0.45390000000000003</v>
      </c>
      <c r="D136" s="40">
        <v>0.1275</v>
      </c>
      <c r="E136" s="40">
        <v>0.15329999999999999</v>
      </c>
      <c r="F136" s="40">
        <v>8.8200000000000001E-2</v>
      </c>
      <c r="G136" s="40">
        <v>9.9199999999999997E-2</v>
      </c>
      <c r="H136" s="40">
        <v>3.6060000000000002E-2</v>
      </c>
      <c r="I136" s="11">
        <v>0</v>
      </c>
      <c r="J136" s="2">
        <v>4.1599999999999998E-2</v>
      </c>
      <c r="K136" s="9">
        <v>25312</v>
      </c>
      <c r="L136" s="1" t="s">
        <v>235</v>
      </c>
      <c r="M136" s="9">
        <v>72480</v>
      </c>
      <c r="N136" s="8">
        <v>0.35100000000000003</v>
      </c>
    </row>
    <row r="137" spans="1:14">
      <c r="A137" s="65" t="s">
        <v>530</v>
      </c>
      <c r="B137" s="30" t="s">
        <v>175</v>
      </c>
      <c r="C137" s="31">
        <v>0.53020011</v>
      </c>
      <c r="D137" s="31">
        <v>9.5419500000000004E-2</v>
      </c>
      <c r="E137" s="31">
        <v>0.1026253</v>
      </c>
      <c r="F137" s="31">
        <v>8.0227649999999998E-2</v>
      </c>
      <c r="G137" s="31">
        <v>9.7025890000000004E-2</v>
      </c>
      <c r="H137" s="31">
        <v>5.815128E-2</v>
      </c>
      <c r="I137" s="11">
        <v>0</v>
      </c>
      <c r="J137" s="2">
        <v>3.6299999999999999E-2</v>
      </c>
      <c r="K137" s="3">
        <v>21788</v>
      </c>
      <c r="L137" s="6" t="s">
        <v>155</v>
      </c>
      <c r="M137" s="32">
        <v>69937</v>
      </c>
      <c r="N137" s="33">
        <v>0.31153753000000001</v>
      </c>
    </row>
    <row r="138" spans="1:14">
      <c r="A138" s="65" t="s">
        <v>531</v>
      </c>
      <c r="B138" s="37" t="s">
        <v>212</v>
      </c>
      <c r="C138" s="31">
        <v>0.20429512</v>
      </c>
      <c r="D138" s="31">
        <v>0.23833483</v>
      </c>
      <c r="E138" s="31">
        <v>0.25017411000000001</v>
      </c>
      <c r="F138" s="31">
        <v>0.12855498000000001</v>
      </c>
      <c r="G138" s="31">
        <v>5.5756899999999998E-2</v>
      </c>
      <c r="H138" s="31">
        <v>2.724598E-2</v>
      </c>
      <c r="I138" s="11">
        <v>0</v>
      </c>
      <c r="J138" s="2">
        <v>9.5600000000000004E-2</v>
      </c>
      <c r="K138" s="9">
        <v>70359</v>
      </c>
      <c r="L138" s="1" t="s">
        <v>201</v>
      </c>
      <c r="M138" s="32">
        <v>176778</v>
      </c>
      <c r="N138" s="33">
        <v>0.39800766999999998</v>
      </c>
    </row>
    <row r="139" spans="1:14">
      <c r="A139" s="65" t="s">
        <v>532</v>
      </c>
      <c r="B139" s="39" t="s">
        <v>258</v>
      </c>
      <c r="C139" s="40">
        <v>0.28989999999999999</v>
      </c>
      <c r="D139" s="40">
        <v>0.35977999999999999</v>
      </c>
      <c r="E139" s="40">
        <v>4.0800000000000003E-2</v>
      </c>
      <c r="F139" s="40">
        <v>0.13028000000000001</v>
      </c>
      <c r="G139" s="40">
        <v>0.10589999999999999</v>
      </c>
      <c r="H139" s="40">
        <v>1.3100000000000001E-2</v>
      </c>
      <c r="I139" s="11">
        <v>0</v>
      </c>
      <c r="J139" s="2">
        <v>6.0109999999999997E-2</v>
      </c>
      <c r="K139" s="9">
        <v>42837</v>
      </c>
      <c r="L139" s="1" t="s">
        <v>235</v>
      </c>
      <c r="M139" s="9">
        <v>97103</v>
      </c>
      <c r="N139" s="8">
        <v>0.44209999999999999</v>
      </c>
    </row>
    <row r="140" spans="1:14">
      <c r="A140" s="65" t="s">
        <v>533</v>
      </c>
      <c r="B140" s="5" t="s">
        <v>344</v>
      </c>
      <c r="C140" s="2">
        <v>0.2225</v>
      </c>
      <c r="D140" s="2">
        <v>6.3299999999999995E-2</v>
      </c>
      <c r="E140" s="2">
        <v>7.7899999999999997E-2</v>
      </c>
      <c r="F140" s="2">
        <v>5.1499999999999997E-2</v>
      </c>
      <c r="G140" s="2">
        <v>3.7659999999999999E-2</v>
      </c>
      <c r="H140" s="2">
        <v>2.4400000000000002E-2</v>
      </c>
      <c r="I140" s="53">
        <v>0.50814999999999999</v>
      </c>
      <c r="J140" s="2">
        <v>1.4999999999999999E-2</v>
      </c>
      <c r="K140" s="46">
        <v>35440</v>
      </c>
      <c r="L140" s="5" t="s">
        <v>334</v>
      </c>
      <c r="M140" s="32">
        <v>82708</v>
      </c>
      <c r="N140" s="2">
        <v>0.42849542999999995</v>
      </c>
    </row>
    <row r="141" spans="1:14">
      <c r="A141" s="65" t="s">
        <v>534</v>
      </c>
      <c r="B141" s="37" t="s">
        <v>213</v>
      </c>
      <c r="C141" s="31">
        <v>6.0226090000000003E-2</v>
      </c>
      <c r="D141" s="31">
        <v>0.23470092999999997</v>
      </c>
      <c r="E141" s="31">
        <v>0.35022858999999995</v>
      </c>
      <c r="F141" s="31">
        <v>0.23083482</v>
      </c>
      <c r="G141" s="31">
        <v>3.1002399999999999E-2</v>
      </c>
      <c r="H141" s="31">
        <v>1.0084230000000001E-2</v>
      </c>
      <c r="I141" s="11">
        <v>0</v>
      </c>
      <c r="J141" s="2">
        <v>8.2900000000000001E-2</v>
      </c>
      <c r="K141" s="9">
        <v>68027</v>
      </c>
      <c r="L141" s="1" t="s">
        <v>201</v>
      </c>
      <c r="M141" s="32">
        <v>164426</v>
      </c>
      <c r="N141" s="33">
        <v>0.41372410999999998</v>
      </c>
    </row>
    <row r="142" spans="1:14">
      <c r="A142" s="65" t="s">
        <v>535</v>
      </c>
      <c r="B142" s="1" t="s">
        <v>36</v>
      </c>
      <c r="C142" s="2">
        <v>0.35</v>
      </c>
      <c r="D142" s="2">
        <v>0.13100000000000001</v>
      </c>
      <c r="E142" s="2">
        <v>0.26500000000000001</v>
      </c>
      <c r="F142" s="2">
        <v>0.105</v>
      </c>
      <c r="G142" s="2">
        <v>4.3999999999999997E-2</v>
      </c>
      <c r="H142" s="2">
        <v>4.3999999999999997E-2</v>
      </c>
      <c r="I142" s="2">
        <v>0</v>
      </c>
      <c r="J142" s="2">
        <v>6.2E-2</v>
      </c>
      <c r="K142" s="13">
        <v>25103</v>
      </c>
      <c r="L142" s="3" t="s">
        <v>21</v>
      </c>
      <c r="M142" s="3">
        <v>93218</v>
      </c>
      <c r="N142" s="2">
        <v>0.26900000000000002</v>
      </c>
    </row>
    <row r="143" spans="1:14">
      <c r="A143" s="65" t="s">
        <v>536</v>
      </c>
      <c r="B143" s="1" t="s">
        <v>68</v>
      </c>
      <c r="C143" s="2">
        <v>0.36799999999999999</v>
      </c>
      <c r="D143" s="2">
        <v>0.187</v>
      </c>
      <c r="E143" s="2">
        <v>4.9000000000000002E-2</v>
      </c>
      <c r="F143" s="2">
        <v>0.125</v>
      </c>
      <c r="G143" s="2">
        <v>0.14499999999999999</v>
      </c>
      <c r="H143" s="2">
        <v>3.5999999999999997E-2</v>
      </c>
      <c r="I143" s="2">
        <v>0</v>
      </c>
      <c r="J143" s="2">
        <v>9.0999999999999998E-2</v>
      </c>
      <c r="K143" s="3">
        <v>28880</v>
      </c>
      <c r="L143" s="6" t="s">
        <v>61</v>
      </c>
      <c r="M143" s="21">
        <v>71479</v>
      </c>
      <c r="N143" s="2">
        <f>K143/M143</f>
        <v>0.40403475146546536</v>
      </c>
    </row>
    <row r="144" spans="1:14">
      <c r="A144" s="65" t="s">
        <v>537</v>
      </c>
      <c r="B144" s="37" t="s">
        <v>214</v>
      </c>
      <c r="C144" s="31">
        <v>0.14075405999999999</v>
      </c>
      <c r="D144" s="31">
        <v>0.34272616</v>
      </c>
      <c r="E144" s="31">
        <v>0.19574754</v>
      </c>
      <c r="F144" s="31">
        <v>0.11538158</v>
      </c>
      <c r="G144" s="31">
        <v>9.0068370000000009E-2</v>
      </c>
      <c r="H144" s="31">
        <v>1.5492230000000001E-2</v>
      </c>
      <c r="I144" s="11">
        <v>0</v>
      </c>
      <c r="J144" s="2">
        <v>9.98E-2</v>
      </c>
      <c r="K144" s="9">
        <v>50606</v>
      </c>
      <c r="L144" s="1" t="s">
        <v>201</v>
      </c>
      <c r="M144" s="32">
        <v>113037</v>
      </c>
      <c r="N144" s="33">
        <v>0.44769412000000003</v>
      </c>
    </row>
    <row r="145" spans="1:14">
      <c r="A145" s="65" t="s">
        <v>538</v>
      </c>
      <c r="B145" s="22" t="s">
        <v>101</v>
      </c>
      <c r="C145" s="2">
        <v>0.35599999999999998</v>
      </c>
      <c r="D145" s="2">
        <v>0.24199999999999999</v>
      </c>
      <c r="E145" s="2">
        <v>5.6000000000000001E-2</v>
      </c>
      <c r="F145" s="2">
        <v>0.12</v>
      </c>
      <c r="G145" s="2">
        <v>0.14699999999999999</v>
      </c>
      <c r="H145" s="2">
        <v>3.4000000000000002E-2</v>
      </c>
      <c r="I145" s="2">
        <v>0</v>
      </c>
      <c r="J145" s="2">
        <v>4.2999999999999997E-2</v>
      </c>
      <c r="K145" s="3">
        <v>27635</v>
      </c>
      <c r="L145" s="6" t="s">
        <v>83</v>
      </c>
      <c r="M145" s="3">
        <v>69084</v>
      </c>
      <c r="N145" s="2">
        <f>K145/M145</f>
        <v>0.40002026518441319</v>
      </c>
    </row>
    <row r="146" spans="1:14">
      <c r="A146" s="65" t="s">
        <v>539</v>
      </c>
      <c r="B146" s="37" t="s">
        <v>215</v>
      </c>
      <c r="C146" s="31">
        <v>7.5317079999999995E-2</v>
      </c>
      <c r="D146" s="31">
        <v>0.31385549000000001</v>
      </c>
      <c r="E146" s="31">
        <v>0.30415088000000001</v>
      </c>
      <c r="F146" s="31">
        <v>0.18438752999999999</v>
      </c>
      <c r="G146" s="31">
        <v>3.1666940000000005E-2</v>
      </c>
      <c r="H146" s="31">
        <v>9.9654100000000009E-3</v>
      </c>
      <c r="I146" s="11">
        <v>0</v>
      </c>
      <c r="J146" s="2">
        <v>8.0600000000000005E-2</v>
      </c>
      <c r="K146" s="9">
        <v>72852</v>
      </c>
      <c r="L146" s="1" t="s">
        <v>201</v>
      </c>
      <c r="M146" s="32">
        <v>157550</v>
      </c>
      <c r="N146" s="33">
        <v>0.46240558999999998</v>
      </c>
    </row>
    <row r="147" spans="1:14">
      <c r="A147" s="65" t="s">
        <v>540</v>
      </c>
      <c r="B147" s="30" t="s">
        <v>176</v>
      </c>
      <c r="C147" s="31">
        <v>0.43628059000000002</v>
      </c>
      <c r="D147" s="31">
        <v>0.12247659999999999</v>
      </c>
      <c r="E147" s="31">
        <v>0.17125295999999998</v>
      </c>
      <c r="F147" s="31">
        <v>8.9601890000000003E-2</v>
      </c>
      <c r="G147" s="31">
        <v>9.2082999999999998E-2</v>
      </c>
      <c r="H147" s="31">
        <v>5.0693580000000002E-2</v>
      </c>
      <c r="I147" s="11">
        <v>0</v>
      </c>
      <c r="J147" s="2">
        <v>3.7600000000000001E-2</v>
      </c>
      <c r="K147" s="3">
        <v>17734</v>
      </c>
      <c r="L147" s="6" t="s">
        <v>155</v>
      </c>
      <c r="M147" s="32">
        <v>58492</v>
      </c>
      <c r="N147" s="33">
        <v>0.30318676</v>
      </c>
    </row>
    <row r="148" spans="1:14">
      <c r="A148" s="65" t="s">
        <v>541</v>
      </c>
      <c r="B148" s="1" t="s">
        <v>69</v>
      </c>
      <c r="C148" s="2">
        <v>0.318</v>
      </c>
      <c r="D148" s="2">
        <v>0.27100000000000002</v>
      </c>
      <c r="E148" s="2">
        <v>4.4999999999999998E-2</v>
      </c>
      <c r="F148" s="2">
        <v>0.128</v>
      </c>
      <c r="G148" s="2">
        <v>0.126</v>
      </c>
      <c r="H148" s="2">
        <v>0.03</v>
      </c>
      <c r="I148" s="2">
        <v>0</v>
      </c>
      <c r="J148" s="2">
        <v>8.3000000000000004E-2</v>
      </c>
      <c r="K148" s="3">
        <v>50487</v>
      </c>
      <c r="L148" s="6" t="s">
        <v>61</v>
      </c>
      <c r="M148" s="21">
        <v>118797</v>
      </c>
      <c r="N148" s="2">
        <f>K148/M148</f>
        <v>0.42498547943129877</v>
      </c>
    </row>
    <row r="149" spans="1:14">
      <c r="A149" s="65" t="s">
        <v>542</v>
      </c>
      <c r="B149" s="37" t="s">
        <v>216</v>
      </c>
      <c r="C149" s="31">
        <v>0.18510123000000001</v>
      </c>
      <c r="D149" s="31">
        <v>0.21766819000000001</v>
      </c>
      <c r="E149" s="31">
        <v>0.25153043000000003</v>
      </c>
      <c r="F149" s="31">
        <v>7.9983349999999995E-2</v>
      </c>
      <c r="G149" s="31">
        <v>0.15133151</v>
      </c>
      <c r="H149" s="31">
        <v>2.1402910000000001E-2</v>
      </c>
      <c r="I149" s="11">
        <v>0</v>
      </c>
      <c r="J149" s="2">
        <v>9.2899999999999996E-2</v>
      </c>
      <c r="K149" s="9">
        <v>64851</v>
      </c>
      <c r="L149" s="1" t="s">
        <v>201</v>
      </c>
      <c r="M149" s="32">
        <v>169200</v>
      </c>
      <c r="N149" s="33">
        <v>0.38328014000000005</v>
      </c>
    </row>
    <row r="150" spans="1:14">
      <c r="A150" s="65" t="s">
        <v>543</v>
      </c>
      <c r="B150" s="39" t="s">
        <v>259</v>
      </c>
      <c r="C150" s="40">
        <v>0.34938000000000002</v>
      </c>
      <c r="D150" s="40">
        <v>0.30830000000000002</v>
      </c>
      <c r="E150" s="40">
        <v>2.8199999999999999E-2</v>
      </c>
      <c r="F150" s="40">
        <v>0.11266</v>
      </c>
      <c r="G150" s="40">
        <v>0.1241</v>
      </c>
      <c r="H150" s="40">
        <v>1.7899999999999999E-2</v>
      </c>
      <c r="I150" s="11">
        <v>0</v>
      </c>
      <c r="J150" s="2">
        <v>5.9299999999999999E-2</v>
      </c>
      <c r="K150" s="9">
        <v>28713</v>
      </c>
      <c r="L150" s="1" t="s">
        <v>235</v>
      </c>
      <c r="M150" s="9">
        <v>72127</v>
      </c>
      <c r="N150" s="8">
        <v>0.39804532999999998</v>
      </c>
    </row>
    <row r="151" spans="1:14">
      <c r="A151" s="65" t="s">
        <v>544</v>
      </c>
      <c r="B151" s="5" t="s">
        <v>12</v>
      </c>
      <c r="C151" s="2">
        <v>0.52700000000000002</v>
      </c>
      <c r="D151" s="2">
        <v>9.7000000000000003E-2</v>
      </c>
      <c r="E151" s="2">
        <v>0.13800000000000001</v>
      </c>
      <c r="F151" s="2">
        <v>5.5E-2</v>
      </c>
      <c r="G151" s="2">
        <v>5.0999999999999997E-2</v>
      </c>
      <c r="H151" s="2">
        <v>8.8999999999999996E-2</v>
      </c>
      <c r="I151" s="2">
        <v>0</v>
      </c>
      <c r="J151" s="2">
        <v>4.3999999999999997E-2</v>
      </c>
      <c r="K151" s="3">
        <v>17909</v>
      </c>
      <c r="L151" s="6" t="s">
        <v>8</v>
      </c>
      <c r="M151" s="3">
        <v>70599</v>
      </c>
      <c r="N151" s="2">
        <f>17909/M151</f>
        <v>0.25367214833071289</v>
      </c>
    </row>
    <row r="152" spans="1:14">
      <c r="A152" s="65" t="s">
        <v>545</v>
      </c>
      <c r="B152" s="39" t="s">
        <v>260</v>
      </c>
      <c r="C152" s="40">
        <v>0.36680000000000001</v>
      </c>
      <c r="D152" s="40">
        <v>0.1804</v>
      </c>
      <c r="E152" s="40">
        <v>0.1414</v>
      </c>
      <c r="F152" s="40">
        <v>0.183</v>
      </c>
      <c r="G152" s="40">
        <v>6.7500000000000004E-2</v>
      </c>
      <c r="H152" s="40">
        <v>2.3980000000000001E-2</v>
      </c>
      <c r="I152" s="11">
        <v>0</v>
      </c>
      <c r="J152" s="8">
        <v>3.6700000000000003E-2</v>
      </c>
      <c r="K152" s="9">
        <v>24473</v>
      </c>
      <c r="L152" s="1" t="s">
        <v>235</v>
      </c>
      <c r="M152" s="9">
        <v>62772</v>
      </c>
      <c r="N152" s="8">
        <v>0.38988370000000006</v>
      </c>
    </row>
    <row r="153" spans="1:14">
      <c r="A153" s="65" t="s">
        <v>546</v>
      </c>
      <c r="B153" s="39" t="s">
        <v>261</v>
      </c>
      <c r="C153" s="40">
        <v>0.47188000000000002</v>
      </c>
      <c r="D153" s="40">
        <v>0.18759999999999999</v>
      </c>
      <c r="E153" s="40">
        <v>4.7320000000000001E-2</v>
      </c>
      <c r="F153" s="40">
        <v>0.10199999999999999</v>
      </c>
      <c r="G153" s="40">
        <v>0.11600000000000001</v>
      </c>
      <c r="H153" s="40">
        <v>3.696E-2</v>
      </c>
      <c r="I153" s="11">
        <v>0</v>
      </c>
      <c r="J153" s="2">
        <v>3.7699999999999997E-2</v>
      </c>
      <c r="K153" s="9">
        <v>32139</v>
      </c>
      <c r="L153" s="1" t="s">
        <v>235</v>
      </c>
      <c r="M153" s="9">
        <v>95154</v>
      </c>
      <c r="N153" s="8">
        <v>0.33979999999999999</v>
      </c>
    </row>
    <row r="154" spans="1:14">
      <c r="A154" s="65" t="s">
        <v>547</v>
      </c>
      <c r="B154" s="37" t="s">
        <v>217</v>
      </c>
      <c r="C154" s="34">
        <v>0.47591920999999998</v>
      </c>
      <c r="D154" s="34">
        <v>0.12218688</v>
      </c>
      <c r="E154" s="34">
        <v>0.11171117999999999</v>
      </c>
      <c r="F154" s="34">
        <v>7.0459419999999995E-2</v>
      </c>
      <c r="G154" s="34">
        <v>9.88237E-2</v>
      </c>
      <c r="H154" s="34">
        <v>5.4375970000000003E-2</v>
      </c>
      <c r="I154" s="35">
        <v>0</v>
      </c>
      <c r="J154" s="8">
        <v>6.6500000000000004E-2</v>
      </c>
      <c r="K154" s="38">
        <v>67585</v>
      </c>
      <c r="L154" s="1" t="s">
        <v>201</v>
      </c>
      <c r="M154" s="32">
        <v>183061</v>
      </c>
      <c r="N154" s="33">
        <v>0.36919387999999997</v>
      </c>
    </row>
    <row r="155" spans="1:14">
      <c r="A155" s="65" t="s">
        <v>548</v>
      </c>
      <c r="B155" s="26" t="s">
        <v>131</v>
      </c>
      <c r="C155" s="2">
        <v>0.39600000000000002</v>
      </c>
      <c r="D155" s="2">
        <v>0.20599999999999999</v>
      </c>
      <c r="E155" s="2">
        <v>4.2999999999999997E-2</v>
      </c>
      <c r="F155" s="2">
        <v>0.159</v>
      </c>
      <c r="G155" s="2">
        <v>0.108</v>
      </c>
      <c r="H155" s="2">
        <v>4.7E-2</v>
      </c>
      <c r="I155" s="2">
        <v>0</v>
      </c>
      <c r="J155" s="2">
        <v>4.1000000000000002E-2</v>
      </c>
      <c r="K155" s="3">
        <v>55196</v>
      </c>
      <c r="L155" s="6" t="s">
        <v>124</v>
      </c>
      <c r="M155" s="27">
        <v>139585</v>
      </c>
      <c r="N155" s="2">
        <f>K155/M155</f>
        <v>0.39542930830676648</v>
      </c>
    </row>
    <row r="156" spans="1:14">
      <c r="A156" s="65" t="s">
        <v>549</v>
      </c>
      <c r="B156" s="30" t="s">
        <v>177</v>
      </c>
      <c r="C156" s="31">
        <v>0.30859286000000002</v>
      </c>
      <c r="D156" s="31">
        <v>0.22967341000000002</v>
      </c>
      <c r="E156" s="31">
        <v>9.2558909999999994E-2</v>
      </c>
      <c r="F156" s="31">
        <v>9.6953849999999994E-2</v>
      </c>
      <c r="G156" s="31">
        <v>0.17704781</v>
      </c>
      <c r="H156" s="31">
        <v>2.743048E-2</v>
      </c>
      <c r="I156" s="11">
        <v>0</v>
      </c>
      <c r="J156" s="2">
        <v>6.7699999999999996E-2</v>
      </c>
      <c r="K156" s="3">
        <v>26394</v>
      </c>
      <c r="L156" s="6" t="s">
        <v>155</v>
      </c>
      <c r="M156" s="32">
        <v>72989</v>
      </c>
      <c r="N156" s="33">
        <v>0.36161613000000004</v>
      </c>
    </row>
    <row r="157" spans="1:14">
      <c r="A157" s="65" t="s">
        <v>550</v>
      </c>
      <c r="B157" s="22" t="s">
        <v>102</v>
      </c>
      <c r="C157" s="2">
        <v>0.31900000000000001</v>
      </c>
      <c r="D157" s="2">
        <v>0.216</v>
      </c>
      <c r="E157" s="2">
        <v>0.14199999999999999</v>
      </c>
      <c r="F157" s="2">
        <v>0.16400000000000001</v>
      </c>
      <c r="G157" s="2">
        <v>8.2000000000000003E-2</v>
      </c>
      <c r="H157" s="2">
        <v>3.9E-2</v>
      </c>
      <c r="I157" s="2">
        <v>0</v>
      </c>
      <c r="J157" s="2">
        <v>3.7999999999999999E-2</v>
      </c>
      <c r="K157" s="3">
        <v>28075</v>
      </c>
      <c r="L157" s="6" t="s">
        <v>83</v>
      </c>
      <c r="M157" s="3">
        <v>72322</v>
      </c>
      <c r="N157" s="2">
        <f>K157/M157</f>
        <v>0.38819446364868226</v>
      </c>
    </row>
    <row r="158" spans="1:14">
      <c r="A158" s="65" t="s">
        <v>551</v>
      </c>
      <c r="B158" s="55" t="s">
        <v>374</v>
      </c>
      <c r="C158" s="56">
        <v>0.18079553165944565</v>
      </c>
      <c r="D158" s="57">
        <v>0.17442177932056632</v>
      </c>
      <c r="E158" s="57">
        <v>4.0420193195262424E-2</v>
      </c>
      <c r="F158" s="57">
        <v>9.1683242976195123E-2</v>
      </c>
      <c r="G158" s="56">
        <v>9.8508782193793304E-2</v>
      </c>
      <c r="H158" s="56">
        <v>2.0969872807812866E-2</v>
      </c>
      <c r="I158" s="56">
        <v>0.3728824577141594</v>
      </c>
      <c r="J158" s="57">
        <v>2.0918652573553312E-2</v>
      </c>
      <c r="K158" s="58">
        <v>76917</v>
      </c>
      <c r="L158" s="1" t="s">
        <v>357</v>
      </c>
      <c r="M158" s="59">
        <v>178573</v>
      </c>
      <c r="N158" s="60">
        <v>0.43200000000000005</v>
      </c>
    </row>
    <row r="159" spans="1:14">
      <c r="A159" s="65" t="s">
        <v>552</v>
      </c>
      <c r="B159" s="37" t="s">
        <v>218</v>
      </c>
      <c r="C159" s="31">
        <v>0.26971411000000001</v>
      </c>
      <c r="D159" s="31">
        <v>0.17449682999999999</v>
      </c>
      <c r="E159" s="31">
        <v>0.23678086000000001</v>
      </c>
      <c r="F159" s="31">
        <v>8.3905729999999998E-2</v>
      </c>
      <c r="G159" s="31">
        <v>0.12428597999999999</v>
      </c>
      <c r="H159" s="31">
        <v>3.3243540000000002E-2</v>
      </c>
      <c r="I159" s="11">
        <v>0</v>
      </c>
      <c r="J159" s="2">
        <v>7.6999999999999999E-2</v>
      </c>
      <c r="K159" s="9">
        <v>70901</v>
      </c>
      <c r="L159" s="1" t="s">
        <v>201</v>
      </c>
      <c r="M159" s="32">
        <v>190362</v>
      </c>
      <c r="N159" s="33">
        <v>0.37245353999999997</v>
      </c>
    </row>
    <row r="160" spans="1:14">
      <c r="A160" s="65" t="s">
        <v>553</v>
      </c>
      <c r="B160" s="22" t="s">
        <v>103</v>
      </c>
      <c r="C160" s="2">
        <v>0.433</v>
      </c>
      <c r="D160" s="2">
        <v>0.23499999999999999</v>
      </c>
      <c r="E160" s="2">
        <v>5.8000000000000003E-2</v>
      </c>
      <c r="F160" s="2">
        <v>8.1000000000000003E-2</v>
      </c>
      <c r="G160" s="2">
        <v>0.11</v>
      </c>
      <c r="H160" s="2">
        <v>5.1999999999999998E-2</v>
      </c>
      <c r="I160" s="2">
        <v>0</v>
      </c>
      <c r="J160" s="2">
        <v>3.1E-2</v>
      </c>
      <c r="K160" s="3">
        <v>29208</v>
      </c>
      <c r="L160" s="6" t="s">
        <v>83</v>
      </c>
      <c r="M160" s="3">
        <v>86200</v>
      </c>
      <c r="N160" s="2">
        <f>K160/M160</f>
        <v>0.3388399071925754</v>
      </c>
    </row>
    <row r="161" spans="1:14">
      <c r="A161" s="65" t="s">
        <v>554</v>
      </c>
      <c r="B161" s="39" t="s">
        <v>262</v>
      </c>
      <c r="C161" s="40">
        <v>0.35610000000000003</v>
      </c>
      <c r="D161" s="40">
        <v>0.27800000000000002</v>
      </c>
      <c r="E161" s="40">
        <v>3.6600000000000001E-2</v>
      </c>
      <c r="F161" s="40">
        <v>0.1361</v>
      </c>
      <c r="G161" s="40">
        <v>0.1174</v>
      </c>
      <c r="H161" s="40">
        <v>1.908E-2</v>
      </c>
      <c r="I161" s="11">
        <v>0</v>
      </c>
      <c r="J161" s="2">
        <v>5.6399999999999999E-2</v>
      </c>
      <c r="K161" s="9">
        <v>45121</v>
      </c>
      <c r="L161" s="1" t="s">
        <v>235</v>
      </c>
      <c r="M161" s="9">
        <v>107935</v>
      </c>
      <c r="N161" s="8">
        <v>0.41803863000000002</v>
      </c>
    </row>
    <row r="162" spans="1:14">
      <c r="A162" s="65" t="s">
        <v>555</v>
      </c>
      <c r="B162" s="37" t="s">
        <v>219</v>
      </c>
      <c r="C162" s="31">
        <v>0.18302220999999999</v>
      </c>
      <c r="D162" s="31">
        <v>0.23059178999999999</v>
      </c>
      <c r="E162" s="31">
        <v>0.30183923000000001</v>
      </c>
      <c r="F162" s="31">
        <v>8.9548130000000004E-2</v>
      </c>
      <c r="G162" s="31">
        <v>8.6217959999999996E-2</v>
      </c>
      <c r="H162" s="31">
        <v>2.5419330000000004E-2</v>
      </c>
      <c r="I162" s="11">
        <v>0</v>
      </c>
      <c r="J162" s="2">
        <v>8.3299999999999999E-2</v>
      </c>
      <c r="K162" s="9">
        <v>65462</v>
      </c>
      <c r="L162" s="1" t="s">
        <v>201</v>
      </c>
      <c r="M162" s="32">
        <v>170149</v>
      </c>
      <c r="N162" s="33">
        <v>0.38473337999999996</v>
      </c>
    </row>
    <row r="163" spans="1:14">
      <c r="A163" s="65" t="s">
        <v>556</v>
      </c>
      <c r="B163" s="30" t="s">
        <v>178</v>
      </c>
      <c r="C163" s="31">
        <v>0.37796080000000004</v>
      </c>
      <c r="D163" s="31">
        <v>0.23181622999999998</v>
      </c>
      <c r="E163" s="31">
        <v>5.5956349999999995E-2</v>
      </c>
      <c r="F163" s="31">
        <v>0.12901841</v>
      </c>
      <c r="G163" s="31">
        <v>0.11628619999999999</v>
      </c>
      <c r="H163" s="31">
        <v>3.376183E-2</v>
      </c>
      <c r="I163" s="11">
        <v>0</v>
      </c>
      <c r="J163" s="2">
        <v>5.5199999999999999E-2</v>
      </c>
      <c r="K163" s="3">
        <v>48931</v>
      </c>
      <c r="L163" s="6" t="s">
        <v>155</v>
      </c>
      <c r="M163" s="32">
        <v>128248</v>
      </c>
      <c r="N163" s="33">
        <v>0.38153421000000004</v>
      </c>
    </row>
    <row r="164" spans="1:14">
      <c r="A164" s="65" t="s">
        <v>557</v>
      </c>
      <c r="B164" s="17" t="s">
        <v>37</v>
      </c>
      <c r="C164" s="16">
        <v>0.39100000000000001</v>
      </c>
      <c r="D164" s="16">
        <v>8.1000000000000003E-2</v>
      </c>
      <c r="E164" s="16">
        <v>0.255</v>
      </c>
      <c r="F164" s="16">
        <v>7.4999999999999997E-2</v>
      </c>
      <c r="G164" s="16">
        <v>0.08</v>
      </c>
      <c r="H164" s="16">
        <v>5.3999999999999999E-2</v>
      </c>
      <c r="I164" s="2">
        <v>0</v>
      </c>
      <c r="J164" s="2">
        <v>6.4000000000000001E-2</v>
      </c>
      <c r="K164" s="13">
        <v>18903</v>
      </c>
      <c r="L164" s="3" t="s">
        <v>21</v>
      </c>
      <c r="M164" s="14">
        <v>60707</v>
      </c>
      <c r="N164" s="15">
        <v>0.311</v>
      </c>
    </row>
    <row r="165" spans="1:14">
      <c r="A165" s="65" t="s">
        <v>558</v>
      </c>
      <c r="B165" s="55" t="s">
        <v>375</v>
      </c>
      <c r="C165" s="56">
        <v>0.14607150990662718</v>
      </c>
      <c r="D165" s="57">
        <v>0.10099405383323498</v>
      </c>
      <c r="E165" s="57">
        <v>0.14688393627161728</v>
      </c>
      <c r="F165" s="57">
        <v>5.1563705687440425E-2</v>
      </c>
      <c r="G165" s="56">
        <v>9.3232263628523437E-2</v>
      </c>
      <c r="H165" s="56">
        <v>1.7370063780702945E-2</v>
      </c>
      <c r="I165" s="56">
        <v>0.41927284281240068</v>
      </c>
      <c r="J165" s="57">
        <v>2.5055603467840769E-2</v>
      </c>
      <c r="K165" s="58">
        <v>22031</v>
      </c>
      <c r="L165" s="1" t="s">
        <v>357</v>
      </c>
      <c r="M165" s="59">
        <v>59120</v>
      </c>
      <c r="N165" s="60">
        <v>0.374</v>
      </c>
    </row>
    <row r="166" spans="1:14">
      <c r="A166" s="65" t="s">
        <v>559</v>
      </c>
      <c r="B166" s="30" t="s">
        <v>179</v>
      </c>
      <c r="C166" s="31">
        <v>0.36691414</v>
      </c>
      <c r="D166" s="31">
        <v>0.17375726</v>
      </c>
      <c r="E166" s="31">
        <v>0.16446094</v>
      </c>
      <c r="F166" s="31">
        <v>0.13440930000000001</v>
      </c>
      <c r="G166" s="31">
        <v>8.6152359999999997E-2</v>
      </c>
      <c r="H166" s="31">
        <v>3.8992900000000004E-2</v>
      </c>
      <c r="I166" s="11">
        <v>0</v>
      </c>
      <c r="J166" s="2">
        <v>3.5299999999999998E-2</v>
      </c>
      <c r="K166" s="3">
        <v>30980</v>
      </c>
      <c r="L166" s="6" t="s">
        <v>155</v>
      </c>
      <c r="M166" s="32">
        <v>92749</v>
      </c>
      <c r="N166" s="33">
        <v>0.33401977000000005</v>
      </c>
    </row>
    <row r="167" spans="1:14">
      <c r="A167" s="65" t="s">
        <v>560</v>
      </c>
      <c r="B167" s="39" t="s">
        <v>263</v>
      </c>
      <c r="C167" s="40">
        <v>0.4667</v>
      </c>
      <c r="D167" s="40">
        <v>0.1578</v>
      </c>
      <c r="E167" s="40">
        <v>5.9700000000000003E-2</v>
      </c>
      <c r="F167" s="40">
        <v>0.16489999999999999</v>
      </c>
      <c r="G167" s="40">
        <v>8.5999999999999993E-2</v>
      </c>
      <c r="H167" s="40">
        <v>3.109E-2</v>
      </c>
      <c r="I167" s="11">
        <v>0</v>
      </c>
      <c r="J167" s="2">
        <v>3.3599999999999998E-2</v>
      </c>
      <c r="K167" s="9">
        <v>41551</v>
      </c>
      <c r="L167" s="1" t="s">
        <v>235</v>
      </c>
      <c r="M167" s="9">
        <v>109125</v>
      </c>
      <c r="N167" s="8">
        <v>0.38299999999999995</v>
      </c>
    </row>
    <row r="168" spans="1:14">
      <c r="A168" s="65" t="s">
        <v>561</v>
      </c>
      <c r="B168" s="42" t="s">
        <v>315</v>
      </c>
      <c r="C168" s="43">
        <v>0.27803</v>
      </c>
      <c r="D168" s="43">
        <v>0.24065</v>
      </c>
      <c r="E168" s="43">
        <v>5.7200000000000001E-2</v>
      </c>
      <c r="F168" s="43">
        <v>0.24765999999999999</v>
      </c>
      <c r="G168" s="43">
        <v>0.1051</v>
      </c>
      <c r="H168" s="43">
        <v>2.3359999999999999E-2</v>
      </c>
      <c r="I168" s="2">
        <v>0</v>
      </c>
      <c r="J168" s="2">
        <v>4.7800000000000002E-2</v>
      </c>
      <c r="K168" s="3">
        <v>856</v>
      </c>
      <c r="L168" s="1" t="s">
        <v>302</v>
      </c>
      <c r="M168" s="25">
        <v>1587</v>
      </c>
      <c r="N168" s="2">
        <v>0.55389999999999995</v>
      </c>
    </row>
    <row r="169" spans="1:14">
      <c r="A169" s="65" t="s">
        <v>562</v>
      </c>
      <c r="B169" s="37" t="s">
        <v>220</v>
      </c>
      <c r="C169" s="31">
        <v>9.7634159999999998E-2</v>
      </c>
      <c r="D169" s="31">
        <v>0.29839326999999999</v>
      </c>
      <c r="E169" s="31">
        <v>0.28529637000000002</v>
      </c>
      <c r="F169" s="31">
        <v>0.19573337999999998</v>
      </c>
      <c r="G169" s="31">
        <v>2.448355E-2</v>
      </c>
      <c r="H169" s="31">
        <v>1.3696989999999999E-2</v>
      </c>
      <c r="I169" s="11">
        <v>0</v>
      </c>
      <c r="J169" s="2">
        <v>8.4699999999999998E-2</v>
      </c>
      <c r="K169" s="9">
        <v>66657</v>
      </c>
      <c r="L169" s="1" t="s">
        <v>201</v>
      </c>
      <c r="M169" s="32">
        <v>140436</v>
      </c>
      <c r="N169" s="33">
        <v>0.47464325000000002</v>
      </c>
    </row>
    <row r="170" spans="1:14">
      <c r="A170" s="65" t="s">
        <v>563</v>
      </c>
      <c r="B170" s="37" t="s">
        <v>221</v>
      </c>
      <c r="C170" s="34">
        <v>0.17210354999999999</v>
      </c>
      <c r="D170" s="34">
        <v>0.35960914000000005</v>
      </c>
      <c r="E170" s="34">
        <v>0.13888640999999999</v>
      </c>
      <c r="F170" s="34">
        <v>8.9790569999999986E-2</v>
      </c>
      <c r="G170" s="34">
        <v>0.13268984</v>
      </c>
      <c r="H170" s="34">
        <v>1.3227279999999999E-2</v>
      </c>
      <c r="I170" s="35">
        <v>0</v>
      </c>
      <c r="J170" s="8">
        <v>9.3600000000000003E-2</v>
      </c>
      <c r="K170" s="9">
        <v>33567</v>
      </c>
      <c r="L170" s="1" t="s">
        <v>201</v>
      </c>
      <c r="M170" s="32">
        <v>81310</v>
      </c>
      <c r="N170" s="33">
        <v>0.41282744999999998</v>
      </c>
    </row>
    <row r="171" spans="1:14">
      <c r="A171" s="65" t="s">
        <v>564</v>
      </c>
      <c r="B171" s="22" t="s">
        <v>104</v>
      </c>
      <c r="C171" s="2">
        <v>0.41099999999999998</v>
      </c>
      <c r="D171" s="2">
        <v>0.16700000000000001</v>
      </c>
      <c r="E171" s="2">
        <v>0.10299999999999999</v>
      </c>
      <c r="F171" s="2">
        <v>0.104</v>
      </c>
      <c r="G171" s="2">
        <v>0.121</v>
      </c>
      <c r="H171" s="2">
        <v>4.9000000000000002E-2</v>
      </c>
      <c r="I171" s="2">
        <v>0</v>
      </c>
      <c r="J171" s="23">
        <v>4.4999999999999998E-2</v>
      </c>
      <c r="K171" s="3">
        <v>26761</v>
      </c>
      <c r="L171" s="6" t="s">
        <v>83</v>
      </c>
      <c r="M171" s="3">
        <v>71402</v>
      </c>
      <c r="N171" s="2">
        <f>K171/M171</f>
        <v>0.37479342315341307</v>
      </c>
    </row>
    <row r="172" spans="1:14">
      <c r="A172" s="65" t="s">
        <v>565</v>
      </c>
      <c r="B172" s="30" t="s">
        <v>180</v>
      </c>
      <c r="C172" s="31">
        <v>0.47367165</v>
      </c>
      <c r="D172" s="31">
        <v>0.13914519</v>
      </c>
      <c r="E172" s="31">
        <v>6.6417439999999994E-2</v>
      </c>
      <c r="F172" s="31">
        <v>0.10743451</v>
      </c>
      <c r="G172" s="31">
        <v>0.11973698000000001</v>
      </c>
      <c r="H172" s="31">
        <v>4.6797120000000005E-2</v>
      </c>
      <c r="I172" s="11">
        <v>0</v>
      </c>
      <c r="J172" s="2">
        <v>4.6699999999999998E-2</v>
      </c>
      <c r="K172" s="9">
        <v>37720</v>
      </c>
      <c r="L172" s="6" t="s">
        <v>155</v>
      </c>
      <c r="M172" s="32">
        <v>111929</v>
      </c>
      <c r="N172" s="33">
        <v>0.33696361000000002</v>
      </c>
    </row>
    <row r="173" spans="1:14">
      <c r="A173" s="65" t="s">
        <v>566</v>
      </c>
      <c r="B173" s="1" t="s">
        <v>70</v>
      </c>
      <c r="C173" s="2">
        <v>0.44</v>
      </c>
      <c r="D173" s="2">
        <v>0.13400000000000001</v>
      </c>
      <c r="E173" s="2">
        <v>0.186</v>
      </c>
      <c r="F173" s="2">
        <v>9.1999999999999998E-2</v>
      </c>
      <c r="G173" s="2">
        <v>2.9000000000000001E-2</v>
      </c>
      <c r="H173" s="2">
        <v>6.5000000000000002E-2</v>
      </c>
      <c r="I173" s="2">
        <v>0</v>
      </c>
      <c r="J173" s="2">
        <v>5.5E-2</v>
      </c>
      <c r="K173" s="3">
        <v>42216</v>
      </c>
      <c r="L173" s="6" t="s">
        <v>61</v>
      </c>
      <c r="M173" s="21">
        <v>176588</v>
      </c>
      <c r="N173" s="2">
        <f>K173/M173</f>
        <v>0.23906494212517271</v>
      </c>
    </row>
    <row r="174" spans="1:14">
      <c r="A174" s="65" t="s">
        <v>567</v>
      </c>
      <c r="B174" s="37" t="s">
        <v>222</v>
      </c>
      <c r="C174" s="34">
        <v>0.19229826</v>
      </c>
      <c r="D174" s="34">
        <v>0.47157108999999997</v>
      </c>
      <c r="E174" s="34">
        <v>7.5527559999999994E-2</v>
      </c>
      <c r="F174" s="34">
        <v>9.2254889999999992E-2</v>
      </c>
      <c r="G174" s="34">
        <v>7.8752329999999995E-2</v>
      </c>
      <c r="H174" s="34">
        <v>1.9518359999999998E-2</v>
      </c>
      <c r="I174" s="35">
        <v>0</v>
      </c>
      <c r="J174" s="8">
        <v>7.0069999999999993E-2</v>
      </c>
      <c r="K174" s="9">
        <v>53027</v>
      </c>
      <c r="L174" s="1" t="s">
        <v>201</v>
      </c>
      <c r="M174" s="32">
        <v>110946</v>
      </c>
      <c r="N174" s="33">
        <v>0.47795324</v>
      </c>
    </row>
    <row r="175" spans="1:14">
      <c r="A175" s="65" t="s">
        <v>568</v>
      </c>
      <c r="B175" s="1" t="s">
        <v>71</v>
      </c>
      <c r="C175" s="2">
        <v>0.34200000000000003</v>
      </c>
      <c r="D175" s="2">
        <v>0.14199999999999999</v>
      </c>
      <c r="E175" s="2">
        <v>0.24199999999999999</v>
      </c>
      <c r="F175" s="2">
        <v>0.104</v>
      </c>
      <c r="G175" s="2">
        <v>6.5000000000000002E-2</v>
      </c>
      <c r="H175" s="2">
        <v>3.7999999999999999E-2</v>
      </c>
      <c r="I175" s="2">
        <v>0</v>
      </c>
      <c r="J175" s="2">
        <v>6.6000000000000003E-2</v>
      </c>
      <c r="K175" s="3">
        <v>104895</v>
      </c>
      <c r="L175" s="6" t="s">
        <v>61</v>
      </c>
      <c r="M175" s="21">
        <v>303870</v>
      </c>
      <c r="N175" s="2">
        <f>K175/M175</f>
        <v>0.34519695922598481</v>
      </c>
    </row>
    <row r="176" spans="1:14">
      <c r="A176" s="65" t="s">
        <v>569</v>
      </c>
      <c r="B176" s="1" t="s">
        <v>38</v>
      </c>
      <c r="C176" s="2">
        <v>0.25700000000000001</v>
      </c>
      <c r="D176" s="2">
        <v>8.8999999999999996E-2</v>
      </c>
      <c r="E176" s="2">
        <v>0.4</v>
      </c>
      <c r="F176" s="2">
        <v>0.13700000000000001</v>
      </c>
      <c r="G176" s="2">
        <v>1.9E-2</v>
      </c>
      <c r="H176" s="2">
        <v>3.1E-2</v>
      </c>
      <c r="I176" s="2">
        <v>0</v>
      </c>
      <c r="J176" s="2">
        <v>6.7000000000000004E-2</v>
      </c>
      <c r="K176" s="13">
        <v>27110</v>
      </c>
      <c r="L176" s="3" t="s">
        <v>21</v>
      </c>
      <c r="M176" s="3">
        <v>115528</v>
      </c>
      <c r="N176" s="2">
        <v>0.23499999999999999</v>
      </c>
    </row>
    <row r="177" spans="1:14">
      <c r="A177" s="65" t="s">
        <v>570</v>
      </c>
      <c r="B177" s="37" t="s">
        <v>223</v>
      </c>
      <c r="C177" s="34">
        <v>8.4349969999999996E-2</v>
      </c>
      <c r="D177" s="34">
        <v>0.32612098</v>
      </c>
      <c r="E177" s="34">
        <v>0.22444987000000002</v>
      </c>
      <c r="F177" s="34">
        <v>0.20619648000000002</v>
      </c>
      <c r="G177" s="34">
        <v>3.8992730000000003E-2</v>
      </c>
      <c r="H177" s="34">
        <v>8.8274600000000005E-3</v>
      </c>
      <c r="I177" s="35">
        <v>0</v>
      </c>
      <c r="J177" s="8">
        <v>0.111</v>
      </c>
      <c r="K177" s="9">
        <v>86888</v>
      </c>
      <c r="L177" s="1" t="s">
        <v>201</v>
      </c>
      <c r="M177" s="32">
        <v>208993</v>
      </c>
      <c r="N177" s="33">
        <v>0.41574598000000001</v>
      </c>
    </row>
    <row r="178" spans="1:14">
      <c r="A178" s="65" t="s">
        <v>571</v>
      </c>
      <c r="B178" s="17" t="s">
        <v>39</v>
      </c>
      <c r="C178" s="16">
        <v>0.308</v>
      </c>
      <c r="D178" s="16">
        <v>0.19800000000000001</v>
      </c>
      <c r="E178" s="16">
        <v>0.13100000000000001</v>
      </c>
      <c r="F178" s="16">
        <v>0.20499999999999999</v>
      </c>
      <c r="G178" s="16">
        <v>7.6999999999999999E-2</v>
      </c>
      <c r="H178" s="16">
        <v>3.2000000000000001E-2</v>
      </c>
      <c r="I178" s="2">
        <v>0</v>
      </c>
      <c r="J178" s="2">
        <v>4.9000000000000002E-2</v>
      </c>
      <c r="K178" s="13">
        <v>37889</v>
      </c>
      <c r="L178" s="3" t="s">
        <v>21</v>
      </c>
      <c r="M178" s="14">
        <v>105918</v>
      </c>
      <c r="N178" s="15">
        <v>0.35799999999999998</v>
      </c>
    </row>
    <row r="179" spans="1:14">
      <c r="A179" s="65" t="s">
        <v>572</v>
      </c>
      <c r="B179" s="1" t="s">
        <v>72</v>
      </c>
      <c r="C179" s="2">
        <v>0.28899999999999998</v>
      </c>
      <c r="D179" s="2">
        <v>0.184</v>
      </c>
      <c r="E179" s="2">
        <v>0.19600000000000001</v>
      </c>
      <c r="F179" s="2">
        <v>0.16</v>
      </c>
      <c r="G179" s="2">
        <v>6.9000000000000006E-2</v>
      </c>
      <c r="H179" s="2">
        <v>3.4000000000000002E-2</v>
      </c>
      <c r="I179" s="2">
        <v>0</v>
      </c>
      <c r="J179" s="2">
        <v>6.8000000000000005E-2</v>
      </c>
      <c r="K179" s="3">
        <v>185438</v>
      </c>
      <c r="L179" s="6" t="s">
        <v>61</v>
      </c>
      <c r="M179" s="21">
        <v>544367</v>
      </c>
      <c r="N179" s="2">
        <f>K179/M179</f>
        <v>0.34064886372612596</v>
      </c>
    </row>
    <row r="180" spans="1:14">
      <c r="A180" s="65" t="s">
        <v>573</v>
      </c>
      <c r="B180" s="22" t="s">
        <v>105</v>
      </c>
      <c r="C180" s="2">
        <v>0.161</v>
      </c>
      <c r="D180" s="2">
        <v>0.14499999999999999</v>
      </c>
      <c r="E180" s="2">
        <v>0.47</v>
      </c>
      <c r="F180" s="2">
        <v>9.0999999999999998E-2</v>
      </c>
      <c r="G180" s="2">
        <v>7.3999999999999996E-2</v>
      </c>
      <c r="H180" s="2">
        <v>3.1E-2</v>
      </c>
      <c r="I180" s="2">
        <v>0</v>
      </c>
      <c r="J180" s="2">
        <v>2.8000000000000001E-2</v>
      </c>
      <c r="K180" s="3">
        <v>71181</v>
      </c>
      <c r="L180" s="6" t="s">
        <v>83</v>
      </c>
      <c r="M180" s="3">
        <v>220373</v>
      </c>
      <c r="N180" s="2">
        <f>K180/M180</f>
        <v>0.3230023641734695</v>
      </c>
    </row>
    <row r="181" spans="1:14">
      <c r="A181" s="65" t="s">
        <v>574</v>
      </c>
      <c r="B181" s="39" t="s">
        <v>264</v>
      </c>
      <c r="C181" s="40">
        <v>0.31109999999999999</v>
      </c>
      <c r="D181" s="40">
        <v>0.27866999999999997</v>
      </c>
      <c r="E181" s="40">
        <v>5.9299999999999999E-2</v>
      </c>
      <c r="F181" s="40">
        <v>0.2044</v>
      </c>
      <c r="G181" s="40">
        <v>8.3699999999999997E-2</v>
      </c>
      <c r="H181" s="40">
        <v>1.7000000000000001E-2</v>
      </c>
      <c r="I181" s="11">
        <v>0</v>
      </c>
      <c r="J181" s="2">
        <v>4.5589999999999999E-2</v>
      </c>
      <c r="K181" s="9">
        <v>32812</v>
      </c>
      <c r="L181" s="1" t="s">
        <v>235</v>
      </c>
      <c r="M181" s="9">
        <v>74339</v>
      </c>
      <c r="N181" s="8">
        <v>0.44319999999999998</v>
      </c>
    </row>
    <row r="182" spans="1:14">
      <c r="A182" s="65" t="s">
        <v>575</v>
      </c>
      <c r="B182" s="37" t="s">
        <v>224</v>
      </c>
      <c r="C182" s="34">
        <v>0.11851803999999999</v>
      </c>
      <c r="D182" s="34">
        <v>0.28054599000000002</v>
      </c>
      <c r="E182" s="34">
        <v>0.25953851</v>
      </c>
      <c r="F182" s="34">
        <v>0.20076698000000001</v>
      </c>
      <c r="G182" s="34">
        <v>3.4332139999999997E-2</v>
      </c>
      <c r="H182" s="34">
        <v>1.428664E-2</v>
      </c>
      <c r="I182" s="35">
        <v>0</v>
      </c>
      <c r="J182" s="8">
        <v>9.1999999999999998E-2</v>
      </c>
      <c r="K182" s="9">
        <v>76925</v>
      </c>
      <c r="L182" s="1" t="s">
        <v>201</v>
      </c>
      <c r="M182" s="32">
        <v>186115</v>
      </c>
      <c r="N182" s="33">
        <v>0.41331972</v>
      </c>
    </row>
    <row r="183" spans="1:14">
      <c r="A183" s="65" t="s">
        <v>576</v>
      </c>
      <c r="B183" s="28" t="s">
        <v>132</v>
      </c>
      <c r="C183" s="2">
        <v>0.42899999999999999</v>
      </c>
      <c r="D183" s="2">
        <v>0.193</v>
      </c>
      <c r="E183" s="2">
        <v>6.9000000000000006E-2</v>
      </c>
      <c r="F183" s="2">
        <v>0.106</v>
      </c>
      <c r="G183" s="2">
        <v>0.12</v>
      </c>
      <c r="H183" s="2">
        <v>4.8000000000000001E-2</v>
      </c>
      <c r="I183" s="2">
        <v>0</v>
      </c>
      <c r="J183" s="2">
        <v>3.5999999999999997E-2</v>
      </c>
      <c r="K183" s="3">
        <v>28400</v>
      </c>
      <c r="L183" s="6" t="s">
        <v>124</v>
      </c>
      <c r="M183" s="29">
        <v>80608</v>
      </c>
      <c r="N183" s="2">
        <f>K183/M183</f>
        <v>0.35232235013894403</v>
      </c>
    </row>
    <row r="184" spans="1:14">
      <c r="A184" s="65" t="s">
        <v>577</v>
      </c>
      <c r="B184" s="22" t="s">
        <v>106</v>
      </c>
      <c r="C184" s="2">
        <v>0.38</v>
      </c>
      <c r="D184" s="2">
        <v>0.17299999999999999</v>
      </c>
      <c r="E184" s="2">
        <v>0.155</v>
      </c>
      <c r="F184" s="2">
        <v>0.126</v>
      </c>
      <c r="G184" s="2">
        <v>8.2000000000000003E-2</v>
      </c>
      <c r="H184" s="2">
        <v>4.4999999999999998E-2</v>
      </c>
      <c r="I184" s="2">
        <v>0</v>
      </c>
      <c r="J184" s="2">
        <v>3.7999999999999999E-2</v>
      </c>
      <c r="K184" s="3">
        <v>19315</v>
      </c>
      <c r="L184" s="6" t="s">
        <v>83</v>
      </c>
      <c r="M184" s="3">
        <v>59986</v>
      </c>
      <c r="N184" s="2">
        <f>K184/M184</f>
        <v>0.32199179808622014</v>
      </c>
    </row>
    <row r="185" spans="1:14">
      <c r="A185" s="65" t="s">
        <v>578</v>
      </c>
      <c r="B185" s="1" t="s">
        <v>40</v>
      </c>
      <c r="C185" s="2">
        <v>0.184</v>
      </c>
      <c r="D185" s="2">
        <v>0.16700000000000001</v>
      </c>
      <c r="E185" s="2">
        <v>0.40300000000000002</v>
      </c>
      <c r="F185" s="2">
        <v>0.153</v>
      </c>
      <c r="G185" s="2">
        <v>0.02</v>
      </c>
      <c r="H185" s="2">
        <v>2.1999999999999999E-2</v>
      </c>
      <c r="I185" s="2">
        <v>0</v>
      </c>
      <c r="J185" s="2">
        <v>0.05</v>
      </c>
      <c r="K185" s="13">
        <v>94450</v>
      </c>
      <c r="L185" s="3" t="s">
        <v>21</v>
      </c>
      <c r="M185" s="3">
        <v>316476</v>
      </c>
      <c r="N185" s="2">
        <v>0.29799999999999999</v>
      </c>
    </row>
    <row r="186" spans="1:14">
      <c r="A186" s="65" t="s">
        <v>579</v>
      </c>
      <c r="B186" s="30" t="s">
        <v>181</v>
      </c>
      <c r="C186" s="31">
        <v>0.28090327999999998</v>
      </c>
      <c r="D186" s="31">
        <v>0.14092794</v>
      </c>
      <c r="E186" s="31">
        <v>0.36080913999999997</v>
      </c>
      <c r="F186" s="31">
        <v>7.4498490000000001E-2</v>
      </c>
      <c r="G186" s="31">
        <v>7.0015690000000005E-2</v>
      </c>
      <c r="H186" s="31">
        <v>3.353693E-2</v>
      </c>
      <c r="I186" s="11">
        <v>0</v>
      </c>
      <c r="J186" s="2">
        <v>3.9300000000000002E-2</v>
      </c>
      <c r="K186" s="3">
        <v>35692</v>
      </c>
      <c r="L186" s="6" t="s">
        <v>155</v>
      </c>
      <c r="M186" s="32">
        <v>130352</v>
      </c>
      <c r="N186" s="33">
        <v>0.27381244999999999</v>
      </c>
    </row>
    <row r="187" spans="1:14">
      <c r="A187" s="65" t="s">
        <v>580</v>
      </c>
      <c r="B187" s="39" t="s">
        <v>265</v>
      </c>
      <c r="C187" s="40">
        <v>0.4597</v>
      </c>
      <c r="D187" s="40">
        <v>0.2122</v>
      </c>
      <c r="E187" s="40">
        <v>5.4699999999999999E-2</v>
      </c>
      <c r="F187" s="40">
        <v>0.1017</v>
      </c>
      <c r="G187" s="40">
        <v>0.10539999999999999</v>
      </c>
      <c r="H187" s="40">
        <v>2.3800000000000002E-2</v>
      </c>
      <c r="I187" s="11">
        <v>0</v>
      </c>
      <c r="J187" s="2">
        <v>4.2099999999999999E-2</v>
      </c>
      <c r="K187" s="9">
        <v>44532</v>
      </c>
      <c r="L187" s="1" t="s">
        <v>235</v>
      </c>
      <c r="M187" s="9">
        <v>118258</v>
      </c>
      <c r="N187" s="8">
        <v>0.37799999999999995</v>
      </c>
    </row>
    <row r="188" spans="1:14" s="4" customFormat="1">
      <c r="A188" s="65" t="s">
        <v>581</v>
      </c>
      <c r="B188" s="30" t="s">
        <v>182</v>
      </c>
      <c r="C188" s="31">
        <v>0.47194406</v>
      </c>
      <c r="D188" s="31">
        <v>0.17521678000000002</v>
      </c>
      <c r="E188" s="31">
        <v>4.1678319999999998E-2</v>
      </c>
      <c r="F188" s="31">
        <v>0.11530070000000001</v>
      </c>
      <c r="G188" s="31">
        <v>0.10881119</v>
      </c>
      <c r="H188" s="31">
        <v>3.8713289999999997E-2</v>
      </c>
      <c r="I188" s="11">
        <v>0</v>
      </c>
      <c r="J188" s="2">
        <v>4.8300000000000003E-2</v>
      </c>
      <c r="K188" s="3">
        <v>17875</v>
      </c>
      <c r="L188" s="6" t="s">
        <v>155</v>
      </c>
      <c r="M188" s="32">
        <v>50292</v>
      </c>
      <c r="N188" s="33">
        <v>0.35542431999999996</v>
      </c>
    </row>
    <row r="189" spans="1:14">
      <c r="A189" s="65" t="s">
        <v>582</v>
      </c>
      <c r="B189" s="26" t="s">
        <v>133</v>
      </c>
      <c r="C189" s="2">
        <v>0.36399999999999999</v>
      </c>
      <c r="D189" s="2">
        <v>0.252</v>
      </c>
      <c r="E189" s="2">
        <v>0.04</v>
      </c>
      <c r="F189" s="2">
        <v>0.15</v>
      </c>
      <c r="G189" s="2">
        <v>0.111</v>
      </c>
      <c r="H189" s="2">
        <v>0.04</v>
      </c>
      <c r="I189" s="2">
        <v>0</v>
      </c>
      <c r="J189" s="2">
        <v>4.2999999999999997E-2</v>
      </c>
      <c r="K189" s="3">
        <v>25842</v>
      </c>
      <c r="L189" s="6" t="s">
        <v>124</v>
      </c>
      <c r="M189" s="27">
        <v>60032</v>
      </c>
      <c r="N189" s="2">
        <f>K189/M189</f>
        <v>0.43047041577825162</v>
      </c>
    </row>
    <row r="190" spans="1:14">
      <c r="A190" s="65" t="s">
        <v>583</v>
      </c>
      <c r="B190" s="1" t="s">
        <v>41</v>
      </c>
      <c r="C190" s="2">
        <v>0.13900000000000001</v>
      </c>
      <c r="D190" s="2">
        <v>0.19500000000000001</v>
      </c>
      <c r="E190" s="2">
        <v>0.372</v>
      </c>
      <c r="F190" s="2">
        <v>0.185</v>
      </c>
      <c r="G190" s="2">
        <v>3.2000000000000001E-2</v>
      </c>
      <c r="H190" s="2">
        <v>2.4E-2</v>
      </c>
      <c r="I190" s="2">
        <v>0</v>
      </c>
      <c r="J190" s="2">
        <v>5.3999999999999999E-2</v>
      </c>
      <c r="K190" s="13">
        <v>108125</v>
      </c>
      <c r="L190" s="3" t="s">
        <v>21</v>
      </c>
      <c r="M190" s="3">
        <v>343217</v>
      </c>
      <c r="N190" s="2">
        <v>0.315</v>
      </c>
    </row>
    <row r="191" spans="1:14">
      <c r="A191" s="65" t="s">
        <v>584</v>
      </c>
      <c r="B191" s="22" t="s">
        <v>107</v>
      </c>
      <c r="C191" s="2">
        <v>0.502</v>
      </c>
      <c r="D191" s="2">
        <v>8.8999999999999996E-2</v>
      </c>
      <c r="E191" s="2">
        <v>0.155</v>
      </c>
      <c r="F191" s="2">
        <v>5.8999999999999997E-2</v>
      </c>
      <c r="G191" s="2">
        <v>7.4999999999999997E-2</v>
      </c>
      <c r="H191" s="2">
        <v>6.9000000000000006E-2</v>
      </c>
      <c r="I191" s="2">
        <v>0</v>
      </c>
      <c r="J191" s="2">
        <v>5.0999999999999997E-2</v>
      </c>
      <c r="K191" s="3">
        <v>22117</v>
      </c>
      <c r="L191" s="6" t="s">
        <v>83</v>
      </c>
      <c r="M191" s="3">
        <v>77176</v>
      </c>
      <c r="N191" s="2">
        <f>K191/M191</f>
        <v>0.28657872913859228</v>
      </c>
    </row>
    <row r="192" spans="1:14">
      <c r="A192" s="65" t="s">
        <v>585</v>
      </c>
      <c r="B192" s="39" t="s">
        <v>266</v>
      </c>
      <c r="C192" s="40">
        <v>0.48280000000000001</v>
      </c>
      <c r="D192" s="40">
        <v>0.13519999999999999</v>
      </c>
      <c r="E192" s="40">
        <v>0.1169</v>
      </c>
      <c r="F192" s="40">
        <v>9.1300000000000006E-2</v>
      </c>
      <c r="G192" s="40">
        <v>9.7199999999999995E-2</v>
      </c>
      <c r="H192" s="40">
        <v>3.6290000000000003E-2</v>
      </c>
      <c r="I192" s="11">
        <v>0</v>
      </c>
      <c r="J192" s="2">
        <v>3.7999999999999999E-2</v>
      </c>
      <c r="K192" s="9">
        <v>63917</v>
      </c>
      <c r="L192" s="1" t="s">
        <v>235</v>
      </c>
      <c r="M192" s="9">
        <v>192705</v>
      </c>
      <c r="N192" s="8">
        <v>0.33168314000000004</v>
      </c>
    </row>
    <row r="193" spans="1:14">
      <c r="A193" s="65" t="s">
        <v>586</v>
      </c>
      <c r="B193" s="22" t="s">
        <v>108</v>
      </c>
      <c r="C193" s="2">
        <v>0.42199999999999999</v>
      </c>
      <c r="D193" s="2">
        <v>0.17100000000000001</v>
      </c>
      <c r="E193" s="2">
        <v>5.3999999999999999E-2</v>
      </c>
      <c r="F193" s="2">
        <v>0.13200000000000001</v>
      </c>
      <c r="G193" s="2">
        <v>0.129</v>
      </c>
      <c r="H193" s="2">
        <v>4.7E-2</v>
      </c>
      <c r="I193" s="2">
        <v>0</v>
      </c>
      <c r="J193" s="2">
        <v>4.7E-2</v>
      </c>
      <c r="K193" s="3">
        <v>14139</v>
      </c>
      <c r="L193" s="6" t="s">
        <v>83</v>
      </c>
      <c r="M193" s="3">
        <v>38834</v>
      </c>
      <c r="N193" s="2">
        <f>K193/M193</f>
        <v>0.36408817016016892</v>
      </c>
    </row>
    <row r="194" spans="1:14">
      <c r="A194" s="65" t="s">
        <v>587</v>
      </c>
      <c r="B194" s="42" t="s">
        <v>316</v>
      </c>
      <c r="C194" s="43">
        <v>0.32990000000000003</v>
      </c>
      <c r="D194" s="43">
        <v>0.25929999999999997</v>
      </c>
      <c r="E194" s="43">
        <v>4.0099999999999997E-2</v>
      </c>
      <c r="F194" s="43">
        <v>0.22789999999999999</v>
      </c>
      <c r="G194" s="45">
        <v>8.4400000000000003E-2</v>
      </c>
      <c r="H194" s="43">
        <v>2.7009999999999999E-2</v>
      </c>
      <c r="I194" s="2">
        <v>0</v>
      </c>
      <c r="J194" s="2">
        <v>3.1099999999999999E-2</v>
      </c>
      <c r="K194" s="3">
        <v>36621</v>
      </c>
      <c r="L194" s="1" t="s">
        <v>302</v>
      </c>
      <c r="M194" s="44">
        <v>86955</v>
      </c>
      <c r="N194" s="2">
        <v>0.42359999999999998</v>
      </c>
    </row>
    <row r="195" spans="1:14">
      <c r="A195" s="65" t="s">
        <v>588</v>
      </c>
      <c r="B195" s="5" t="s">
        <v>345</v>
      </c>
      <c r="C195" s="2">
        <v>0.34939999999999999</v>
      </c>
      <c r="D195" s="2">
        <v>8.6400000000000005E-2</v>
      </c>
      <c r="E195" s="2">
        <v>0.25640000000000002</v>
      </c>
      <c r="F195" s="2">
        <v>3.09E-2</v>
      </c>
      <c r="G195" s="2">
        <v>2.9499999999999998E-2</v>
      </c>
      <c r="H195" s="2">
        <v>4.8500000000000001E-2</v>
      </c>
      <c r="I195" s="53">
        <v>0.16039999999999999</v>
      </c>
      <c r="J195" s="2">
        <v>3.7999999999999999E-2</v>
      </c>
      <c r="K195" s="54">
        <v>12610</v>
      </c>
      <c r="L195" s="5" t="s">
        <v>334</v>
      </c>
      <c r="M195" s="32">
        <v>43383</v>
      </c>
      <c r="N195" s="2">
        <v>0.29066684999999998</v>
      </c>
    </row>
    <row r="196" spans="1:14">
      <c r="A196" s="65" t="s">
        <v>589</v>
      </c>
      <c r="B196" s="37" t="s">
        <v>225</v>
      </c>
      <c r="C196" s="34">
        <v>0.16535831000000001</v>
      </c>
      <c r="D196" s="34">
        <v>0.32675077000000002</v>
      </c>
      <c r="E196" s="34">
        <v>0.20784032</v>
      </c>
      <c r="F196" s="34">
        <v>0.11071761000000001</v>
      </c>
      <c r="G196" s="34">
        <v>7.8468490000000002E-2</v>
      </c>
      <c r="H196" s="34">
        <v>1.8866380000000002E-2</v>
      </c>
      <c r="I196" s="35">
        <v>0</v>
      </c>
      <c r="J196" s="8">
        <v>9.1899999999999996E-2</v>
      </c>
      <c r="K196" s="9">
        <v>61273</v>
      </c>
      <c r="L196" s="1" t="s">
        <v>201</v>
      </c>
      <c r="M196" s="32">
        <v>138767</v>
      </c>
      <c r="N196" s="33">
        <v>0.44155310999999997</v>
      </c>
    </row>
    <row r="197" spans="1:14">
      <c r="A197" s="65" t="s">
        <v>590</v>
      </c>
      <c r="B197" s="42" t="s">
        <v>317</v>
      </c>
      <c r="C197" s="43">
        <v>0.38721</v>
      </c>
      <c r="D197" s="43">
        <v>0.21088000000000001</v>
      </c>
      <c r="E197" s="43">
        <v>4.24E-2</v>
      </c>
      <c r="F197" s="43">
        <v>0.1913</v>
      </c>
      <c r="G197" s="43">
        <v>9.4100000000000003E-2</v>
      </c>
      <c r="H197" s="43">
        <v>3.5920000000000001E-2</v>
      </c>
      <c r="I197" s="2">
        <v>0</v>
      </c>
      <c r="J197" s="2">
        <v>3.798E-2</v>
      </c>
      <c r="K197" s="3">
        <v>24720</v>
      </c>
      <c r="L197" s="1" t="s">
        <v>302</v>
      </c>
      <c r="M197" s="44">
        <v>62160</v>
      </c>
      <c r="N197" s="2">
        <v>0.4002</v>
      </c>
    </row>
    <row r="198" spans="1:14">
      <c r="A198" s="65" t="s">
        <v>591</v>
      </c>
      <c r="B198" s="30" t="s">
        <v>183</v>
      </c>
      <c r="C198" s="31">
        <v>0.40504306000000001</v>
      </c>
      <c r="D198" s="31">
        <v>0.19324113000000001</v>
      </c>
      <c r="E198" s="31">
        <v>4.5146140000000001E-2</v>
      </c>
      <c r="F198" s="31">
        <v>0.18153053</v>
      </c>
      <c r="G198" s="31">
        <v>0.10829854</v>
      </c>
      <c r="H198" s="31">
        <v>3.2913619999999998E-2</v>
      </c>
      <c r="I198" s="11">
        <v>0</v>
      </c>
      <c r="J198" s="2">
        <v>3.3799999999999997E-2</v>
      </c>
      <c r="K198" s="3">
        <v>30656</v>
      </c>
      <c r="L198" s="6" t="s">
        <v>155</v>
      </c>
      <c r="M198" s="32">
        <v>78956</v>
      </c>
      <c r="N198" s="33">
        <v>0.38826687999999998</v>
      </c>
    </row>
    <row r="199" spans="1:14">
      <c r="A199" s="65" t="s">
        <v>592</v>
      </c>
      <c r="B199" s="39" t="s">
        <v>267</v>
      </c>
      <c r="C199" s="40">
        <v>0.33139999999999997</v>
      </c>
      <c r="D199" s="40">
        <v>0.30349999999999999</v>
      </c>
      <c r="E199" s="40">
        <v>4.0300000000000002E-2</v>
      </c>
      <c r="F199" s="40">
        <v>0.1429</v>
      </c>
      <c r="G199" s="40">
        <v>0.10730000000000001</v>
      </c>
      <c r="H199" s="40">
        <v>1.5900000000000001E-2</v>
      </c>
      <c r="I199" s="11">
        <v>0</v>
      </c>
      <c r="J199" s="2">
        <v>5.8299999999999998E-2</v>
      </c>
      <c r="K199" s="9">
        <v>45157</v>
      </c>
      <c r="L199" s="1" t="s">
        <v>235</v>
      </c>
      <c r="M199" s="9">
        <v>110905</v>
      </c>
      <c r="N199" s="8">
        <v>0.40899999999999997</v>
      </c>
    </row>
    <row r="200" spans="1:14">
      <c r="A200" s="65" t="s">
        <v>593</v>
      </c>
      <c r="B200" s="5" t="s">
        <v>13</v>
      </c>
      <c r="C200" s="2">
        <v>0.44800000000000001</v>
      </c>
      <c r="D200" s="2">
        <v>0.115</v>
      </c>
      <c r="E200" s="2">
        <v>0.20899999999999999</v>
      </c>
      <c r="F200" s="2">
        <v>5.5E-2</v>
      </c>
      <c r="G200" s="2">
        <v>5.0999999999999997E-2</v>
      </c>
      <c r="H200" s="2">
        <v>6.3E-2</v>
      </c>
      <c r="I200" s="2">
        <v>0</v>
      </c>
      <c r="J200" s="2">
        <v>5.8999999999999997E-2</v>
      </c>
      <c r="K200" s="3">
        <v>23988</v>
      </c>
      <c r="L200" s="6" t="s">
        <v>8</v>
      </c>
      <c r="M200" s="3">
        <v>93609</v>
      </c>
      <c r="N200" s="2">
        <f>23988/M200</f>
        <v>0.25625741114636413</v>
      </c>
    </row>
    <row r="201" spans="1:14">
      <c r="A201" s="65" t="s">
        <v>594</v>
      </c>
      <c r="B201" s="55" t="s">
        <v>376</v>
      </c>
      <c r="C201" s="56">
        <v>0.14154327583575027</v>
      </c>
      <c r="D201" s="57">
        <v>0.13173311016433353</v>
      </c>
      <c r="E201" s="57">
        <v>0.12404899573950091</v>
      </c>
      <c r="F201" s="57">
        <v>9.0497565429093124E-2</v>
      </c>
      <c r="G201" s="56">
        <v>9.1486609860012169E-2</v>
      </c>
      <c r="H201" s="56">
        <v>2.0855452752919765E-2</v>
      </c>
      <c r="I201" s="56">
        <v>0.37176658551430308</v>
      </c>
      <c r="J201" s="57">
        <v>2.8454047474132684E-2</v>
      </c>
      <c r="K201" s="58">
        <v>26288</v>
      </c>
      <c r="L201" s="1" t="s">
        <v>357</v>
      </c>
      <c r="M201" s="59">
        <v>68992</v>
      </c>
      <c r="N201" s="60">
        <v>0.38200000000000001</v>
      </c>
    </row>
    <row r="202" spans="1:14">
      <c r="A202" s="65" t="s">
        <v>595</v>
      </c>
      <c r="B202" s="39" t="s">
        <v>268</v>
      </c>
      <c r="C202" s="40">
        <v>0.33560000000000001</v>
      </c>
      <c r="D202" s="40">
        <v>0.24410000000000001</v>
      </c>
      <c r="E202" s="40">
        <v>0.14169999999999999</v>
      </c>
      <c r="F202" s="40">
        <v>0.11070000000000001</v>
      </c>
      <c r="G202" s="40">
        <v>8.2299999999999998E-2</v>
      </c>
      <c r="H202" s="40">
        <v>2.64E-2</v>
      </c>
      <c r="I202" s="11">
        <v>0</v>
      </c>
      <c r="J202" s="2">
        <v>4.8800000000000003E-2</v>
      </c>
      <c r="K202" s="9">
        <v>61425</v>
      </c>
      <c r="L202" s="1" t="s">
        <v>235</v>
      </c>
      <c r="M202" s="9">
        <v>183516</v>
      </c>
      <c r="N202" s="8">
        <v>0.33471742999999998</v>
      </c>
    </row>
    <row r="203" spans="1:14">
      <c r="A203" s="65" t="s">
        <v>596</v>
      </c>
      <c r="B203" s="39" t="s">
        <v>269</v>
      </c>
      <c r="C203" s="40">
        <v>0.3276</v>
      </c>
      <c r="D203" s="40">
        <v>0.36509999999999998</v>
      </c>
      <c r="E203" s="40">
        <v>2.7199999999999998E-2</v>
      </c>
      <c r="F203" s="40">
        <v>0.1081</v>
      </c>
      <c r="G203" s="40">
        <v>0.10786999999999999</v>
      </c>
      <c r="H203" s="40">
        <v>1.83E-2</v>
      </c>
      <c r="I203" s="11">
        <v>0</v>
      </c>
      <c r="J203" s="2">
        <v>4.5499999999999999E-2</v>
      </c>
      <c r="K203" s="9">
        <v>30276</v>
      </c>
      <c r="L203" s="1" t="s">
        <v>235</v>
      </c>
      <c r="M203" s="9">
        <v>66237</v>
      </c>
      <c r="N203" s="8">
        <v>0.45699623</v>
      </c>
    </row>
    <row r="204" spans="1:14">
      <c r="A204" s="65" t="s">
        <v>597</v>
      </c>
      <c r="B204" s="5" t="s">
        <v>346</v>
      </c>
      <c r="C204" s="2">
        <v>0.33029999999999998</v>
      </c>
      <c r="D204" s="2">
        <v>0.20469999999999999</v>
      </c>
      <c r="E204" s="2">
        <v>8.5900000000000004E-2</v>
      </c>
      <c r="F204" s="2">
        <v>9.2899999999999996E-2</v>
      </c>
      <c r="G204" s="2">
        <v>0.11360000000000001</v>
      </c>
      <c r="H204" s="2">
        <v>2.6554999999999999E-2</v>
      </c>
      <c r="I204" s="53">
        <v>0.10807</v>
      </c>
      <c r="J204" s="2">
        <v>3.7999999999999999E-2</v>
      </c>
      <c r="K204" s="54">
        <v>30201</v>
      </c>
      <c r="L204" s="5" t="s">
        <v>334</v>
      </c>
      <c r="M204" s="32">
        <v>69721</v>
      </c>
      <c r="N204" s="2">
        <v>0.43316935000000001</v>
      </c>
    </row>
    <row r="205" spans="1:14">
      <c r="A205" s="65" t="s">
        <v>598</v>
      </c>
      <c r="B205" s="55" t="s">
        <v>377</v>
      </c>
      <c r="C205" s="56">
        <v>0.22010385475495584</v>
      </c>
      <c r="D205" s="57">
        <v>0.10140823800354891</v>
      </c>
      <c r="E205" s="57">
        <v>3.6168686525465323E-2</v>
      </c>
      <c r="F205" s="57">
        <v>7.2110846830520631E-2</v>
      </c>
      <c r="G205" s="56">
        <v>0.17548231207762299</v>
      </c>
      <c r="H205" s="56">
        <v>2.4670001128201269E-2</v>
      </c>
      <c r="I205" s="56">
        <v>0.34080869860686375</v>
      </c>
      <c r="J205" s="57">
        <v>3.0014724204326652E-2</v>
      </c>
      <c r="K205" s="58">
        <v>26487</v>
      </c>
      <c r="L205" s="1" t="s">
        <v>357</v>
      </c>
      <c r="M205" s="59">
        <v>69954</v>
      </c>
      <c r="N205" s="60">
        <v>0.38</v>
      </c>
    </row>
    <row r="206" spans="1:14">
      <c r="A206" s="65" t="s">
        <v>599</v>
      </c>
      <c r="B206" s="5" t="s">
        <v>347</v>
      </c>
      <c r="C206" s="2">
        <v>0.32419999999999999</v>
      </c>
      <c r="D206" s="2">
        <v>8.7499999999999994E-2</v>
      </c>
      <c r="E206" s="2">
        <v>0.2356</v>
      </c>
      <c r="F206" s="2">
        <v>4.7E-2</v>
      </c>
      <c r="G206" s="2">
        <v>3.73E-2</v>
      </c>
      <c r="H206" s="2">
        <v>4.1880000000000001E-2</v>
      </c>
      <c r="I206" s="53">
        <v>0.19127</v>
      </c>
      <c r="J206" s="2">
        <v>3.5000000000000003E-2</v>
      </c>
      <c r="K206" s="54">
        <v>37244</v>
      </c>
      <c r="L206" s="5" t="s">
        <v>334</v>
      </c>
      <c r="M206" s="32">
        <v>105776</v>
      </c>
      <c r="N206" s="2">
        <v>0.35210256000000001</v>
      </c>
    </row>
    <row r="207" spans="1:14">
      <c r="A207" s="65" t="s">
        <v>600</v>
      </c>
      <c r="B207" s="39" t="s">
        <v>270</v>
      </c>
      <c r="C207" s="40">
        <v>0.44030000000000002</v>
      </c>
      <c r="D207" s="40">
        <v>0.2243</v>
      </c>
      <c r="E207" s="40">
        <v>3.39E-2</v>
      </c>
      <c r="F207" s="40">
        <v>0.1163</v>
      </c>
      <c r="G207" s="40">
        <v>0.11935999999999999</v>
      </c>
      <c r="H207" s="40">
        <v>2.4899999999999999E-2</v>
      </c>
      <c r="I207" s="11">
        <v>0</v>
      </c>
      <c r="J207" s="2">
        <v>4.0599999999999997E-2</v>
      </c>
      <c r="K207" s="9">
        <v>54171</v>
      </c>
      <c r="L207" s="1" t="s">
        <v>235</v>
      </c>
      <c r="M207" s="9">
        <v>140823</v>
      </c>
      <c r="N207" s="8">
        <v>0.38700000000000001</v>
      </c>
    </row>
    <row r="208" spans="1:14">
      <c r="A208" s="65" t="s">
        <v>601</v>
      </c>
      <c r="B208" s="22" t="s">
        <v>109</v>
      </c>
      <c r="C208" s="2">
        <v>0.41399999999999998</v>
      </c>
      <c r="D208" s="2">
        <v>0.17399999999999999</v>
      </c>
      <c r="E208" s="2">
        <v>0.09</v>
      </c>
      <c r="F208" s="2">
        <v>9.9000000000000005E-2</v>
      </c>
      <c r="G208" s="2">
        <v>0.129</v>
      </c>
      <c r="H208" s="2">
        <v>4.9000000000000002E-2</v>
      </c>
      <c r="I208" s="2">
        <v>0</v>
      </c>
      <c r="J208" s="2">
        <v>0.13900000000000001</v>
      </c>
      <c r="K208" s="3">
        <v>32346</v>
      </c>
      <c r="L208" s="6" t="s">
        <v>83</v>
      </c>
      <c r="M208" s="24">
        <v>88842</v>
      </c>
      <c r="N208" s="2">
        <f>K208/M208</f>
        <v>0.36408455460255285</v>
      </c>
    </row>
    <row r="209" spans="1:14">
      <c r="A209" s="65" t="s">
        <v>602</v>
      </c>
      <c r="B209" s="5" t="s">
        <v>14</v>
      </c>
      <c r="C209" s="2">
        <v>0.27200000000000002</v>
      </c>
      <c r="D209" s="2">
        <v>0.23899999999999999</v>
      </c>
      <c r="E209" s="2">
        <v>0.246</v>
      </c>
      <c r="F209" s="2">
        <v>9.8000000000000004E-2</v>
      </c>
      <c r="G209" s="2">
        <v>5.3999999999999999E-2</v>
      </c>
      <c r="H209" s="2">
        <v>0.05</v>
      </c>
      <c r="I209" s="2">
        <v>0</v>
      </c>
      <c r="J209" s="2">
        <v>4.1000000000000002E-2</v>
      </c>
      <c r="K209" s="3">
        <v>67462</v>
      </c>
      <c r="L209" s="6" t="s">
        <v>8</v>
      </c>
      <c r="M209" s="3">
        <v>174815</v>
      </c>
      <c r="N209" s="2">
        <f>67462/M209</f>
        <v>0.3859050996768012</v>
      </c>
    </row>
    <row r="210" spans="1:14">
      <c r="A210" s="65" t="s">
        <v>603</v>
      </c>
      <c r="B210" s="26" t="s">
        <v>134</v>
      </c>
      <c r="C210" s="2">
        <v>0.439</v>
      </c>
      <c r="D210" s="2">
        <v>0.14199999999999999</v>
      </c>
      <c r="E210" s="2">
        <v>0.13600000000000001</v>
      </c>
      <c r="F210" s="2">
        <v>9.6000000000000002E-2</v>
      </c>
      <c r="G210" s="2">
        <v>9.2999999999999999E-2</v>
      </c>
      <c r="H210" s="2">
        <v>6.0999999999999999E-2</v>
      </c>
      <c r="I210" s="2">
        <v>0</v>
      </c>
      <c r="J210" s="2">
        <v>3.1E-2</v>
      </c>
      <c r="K210" s="3">
        <v>30773</v>
      </c>
      <c r="L210" s="6" t="s">
        <v>124</v>
      </c>
      <c r="M210" s="27">
        <v>91535</v>
      </c>
      <c r="N210" s="2">
        <f>K210/M210</f>
        <v>0.33618834325667779</v>
      </c>
    </row>
    <row r="211" spans="1:14">
      <c r="A211" s="65" t="s">
        <v>604</v>
      </c>
      <c r="B211" s="37" t="s">
        <v>226</v>
      </c>
      <c r="C211" s="34">
        <v>0.11815778</v>
      </c>
      <c r="D211" s="34">
        <v>0.14050534000000001</v>
      </c>
      <c r="E211" s="34">
        <v>0.51021843</v>
      </c>
      <c r="F211" s="34">
        <v>8.1823880000000002E-2</v>
      </c>
      <c r="G211" s="34">
        <v>5.741276E-2</v>
      </c>
      <c r="H211" s="34">
        <v>2.0421580000000002E-2</v>
      </c>
      <c r="I211" s="35">
        <v>0</v>
      </c>
      <c r="J211" s="8">
        <v>7.1400000000000005E-2</v>
      </c>
      <c r="K211" s="38">
        <v>65421</v>
      </c>
      <c r="L211" s="1" t="s">
        <v>201</v>
      </c>
      <c r="M211" s="32">
        <v>183262</v>
      </c>
      <c r="N211" s="33">
        <v>0.35698072000000003</v>
      </c>
    </row>
    <row r="212" spans="1:14">
      <c r="A212" s="65" t="s">
        <v>605</v>
      </c>
      <c r="B212" s="5" t="s">
        <v>348</v>
      </c>
      <c r="C212" s="2">
        <v>0.35570000000000002</v>
      </c>
      <c r="D212" s="2">
        <v>0.13969999999999999</v>
      </c>
      <c r="E212" s="2">
        <v>0.20100000000000001</v>
      </c>
      <c r="F212" s="2">
        <v>6.2899999999999998E-2</v>
      </c>
      <c r="G212" s="2">
        <v>7.9799999999999996E-2</v>
      </c>
      <c r="H212" s="2">
        <v>3.4700000000000002E-2</v>
      </c>
      <c r="I212" s="53">
        <v>9.5000000000000001E-2</v>
      </c>
      <c r="J212" s="2">
        <v>3.1E-2</v>
      </c>
      <c r="K212" s="54">
        <v>34493</v>
      </c>
      <c r="L212" s="5" t="s">
        <v>334</v>
      </c>
      <c r="M212" s="32">
        <v>108292</v>
      </c>
      <c r="N212" s="2">
        <v>0.32049999999999995</v>
      </c>
    </row>
    <row r="213" spans="1:14">
      <c r="A213" s="65" t="s">
        <v>606</v>
      </c>
      <c r="B213" s="55" t="s">
        <v>378</v>
      </c>
      <c r="C213" s="56">
        <v>0.17571170782945944</v>
      </c>
      <c r="D213" s="57">
        <v>7.8760871899495336E-2</v>
      </c>
      <c r="E213" s="57">
        <v>0.10109524320841834</v>
      </c>
      <c r="F213" s="57">
        <v>5.6184902824009446E-2</v>
      </c>
      <c r="G213" s="56">
        <v>0.12514764307956619</v>
      </c>
      <c r="H213" s="56">
        <v>2.1939799331103679E-2</v>
      </c>
      <c r="I213" s="56">
        <v>0.41589713303983677</v>
      </c>
      <c r="J213" s="57">
        <v>2.5770428433372704E-2</v>
      </c>
      <c r="K213" s="58">
        <v>37252</v>
      </c>
      <c r="L213" s="1" t="s">
        <v>357</v>
      </c>
      <c r="M213" s="59">
        <v>104989</v>
      </c>
      <c r="N213" s="60">
        <v>0.35600000000000004</v>
      </c>
    </row>
    <row r="214" spans="1:14">
      <c r="A214" s="65" t="s">
        <v>607</v>
      </c>
      <c r="B214" s="42" t="s">
        <v>318</v>
      </c>
      <c r="C214" s="43">
        <v>0.42660999999999999</v>
      </c>
      <c r="D214" s="43">
        <v>0.23268</v>
      </c>
      <c r="E214" s="43">
        <v>3.8890000000000001E-2</v>
      </c>
      <c r="F214" s="43">
        <v>0.15051</v>
      </c>
      <c r="G214" s="43">
        <v>8.5059999999999997E-2</v>
      </c>
      <c r="H214" s="43">
        <v>3.6940000000000001E-2</v>
      </c>
      <c r="I214" s="2">
        <v>0</v>
      </c>
      <c r="J214" s="2">
        <v>2.92E-2</v>
      </c>
      <c r="K214" s="3">
        <v>28309</v>
      </c>
      <c r="L214" s="1" t="s">
        <v>302</v>
      </c>
      <c r="M214" s="44">
        <v>74842</v>
      </c>
      <c r="N214" s="2">
        <v>0.38059999999999999</v>
      </c>
    </row>
    <row r="215" spans="1:14">
      <c r="A215" s="65" t="s">
        <v>608</v>
      </c>
      <c r="B215" s="22" t="s">
        <v>110</v>
      </c>
      <c r="C215" s="2">
        <v>0.42899999999999999</v>
      </c>
      <c r="D215" s="2">
        <v>0.153</v>
      </c>
      <c r="E215" s="2">
        <v>0.127</v>
      </c>
      <c r="F215" s="2">
        <v>9.6000000000000002E-2</v>
      </c>
      <c r="G215" s="2">
        <v>0.107</v>
      </c>
      <c r="H215" s="2">
        <v>5.1999999999999998E-2</v>
      </c>
      <c r="I215" s="2">
        <v>0</v>
      </c>
      <c r="J215" s="2">
        <v>3.6999999999999998E-2</v>
      </c>
      <c r="K215" s="3">
        <v>26312</v>
      </c>
      <c r="L215" s="6" t="s">
        <v>83</v>
      </c>
      <c r="M215" s="24">
        <v>78765</v>
      </c>
      <c r="N215" s="2">
        <f>K215/M215</f>
        <v>0.33405700501491781</v>
      </c>
    </row>
    <row r="216" spans="1:14">
      <c r="A216" s="65" t="s">
        <v>609</v>
      </c>
      <c r="B216" s="1" t="s">
        <v>73</v>
      </c>
      <c r="C216" s="2">
        <v>0.51900000000000002</v>
      </c>
      <c r="D216" s="2">
        <v>0.09</v>
      </c>
      <c r="E216" s="2">
        <v>0.106</v>
      </c>
      <c r="F216" s="2">
        <v>7.2999999999999995E-2</v>
      </c>
      <c r="G216" s="2">
        <v>0.1</v>
      </c>
      <c r="H216" s="2">
        <v>6.9000000000000006E-2</v>
      </c>
      <c r="I216" s="2">
        <v>0</v>
      </c>
      <c r="J216" s="2">
        <v>4.5999999999999999E-2</v>
      </c>
      <c r="K216" s="3">
        <v>32567</v>
      </c>
      <c r="L216" s="6" t="s">
        <v>61</v>
      </c>
      <c r="M216" s="21">
        <v>114382</v>
      </c>
      <c r="N216" s="2">
        <f>K216/M216</f>
        <v>0.28472137224388455</v>
      </c>
    </row>
    <row r="217" spans="1:14">
      <c r="A217" s="65" t="s">
        <v>610</v>
      </c>
      <c r="B217" s="30" t="s">
        <v>184</v>
      </c>
      <c r="C217" s="31">
        <v>0.26810905000000002</v>
      </c>
      <c r="D217" s="31">
        <v>0.31503251999999998</v>
      </c>
      <c r="E217" s="31">
        <v>8.1565779999999991E-2</v>
      </c>
      <c r="F217" s="31">
        <v>0.15380190000000002</v>
      </c>
      <c r="G217" s="31">
        <v>0.10815408</v>
      </c>
      <c r="H217" s="31">
        <v>2.311156E-2</v>
      </c>
      <c r="I217" s="11">
        <v>0</v>
      </c>
      <c r="J217" s="2">
        <v>5.0200000000000002E-2</v>
      </c>
      <c r="K217" s="3">
        <v>39980</v>
      </c>
      <c r="L217" s="6" t="s">
        <v>155</v>
      </c>
      <c r="M217" s="32">
        <v>96991</v>
      </c>
      <c r="N217" s="33">
        <v>0.41220319000000005</v>
      </c>
    </row>
    <row r="218" spans="1:14">
      <c r="A218" s="65" t="s">
        <v>611</v>
      </c>
      <c r="B218" s="22" t="s">
        <v>111</v>
      </c>
      <c r="C218" s="2">
        <v>0.47</v>
      </c>
      <c r="D218" s="2">
        <v>0.154</v>
      </c>
      <c r="E218" s="2">
        <v>5.2999999999999999E-2</v>
      </c>
      <c r="F218" s="2">
        <v>7.9000000000000001E-2</v>
      </c>
      <c r="G218" s="2">
        <v>0.11700000000000001</v>
      </c>
      <c r="H218" s="2">
        <v>4.5999999999999999E-2</v>
      </c>
      <c r="I218" s="2">
        <v>0</v>
      </c>
      <c r="J218" s="2">
        <v>8.1000000000000003E-2</v>
      </c>
      <c r="K218" s="3">
        <v>30196</v>
      </c>
      <c r="L218" s="6" t="s">
        <v>83</v>
      </c>
      <c r="M218" s="24">
        <v>88452</v>
      </c>
      <c r="N218" s="2">
        <f>K218/M218</f>
        <v>0.34138289693845247</v>
      </c>
    </row>
    <row r="219" spans="1:14">
      <c r="A219" s="65" t="s">
        <v>612</v>
      </c>
      <c r="B219" s="55" t="s">
        <v>379</v>
      </c>
      <c r="C219" s="56">
        <v>0.14046229000357441</v>
      </c>
      <c r="D219" s="57">
        <v>6.9443949490989865E-2</v>
      </c>
      <c r="E219" s="57">
        <v>0.16416616181414301</v>
      </c>
      <c r="F219" s="57">
        <v>5.1435562999655515E-2</v>
      </c>
      <c r="G219" s="56">
        <v>7.7937350771533451E-2</v>
      </c>
      <c r="H219" s="56">
        <v>2.0488890994362595E-2</v>
      </c>
      <c r="I219" s="56">
        <v>0.45415345140942948</v>
      </c>
      <c r="J219" s="57">
        <v>2.227290545597092E-2</v>
      </c>
      <c r="K219" s="58">
        <v>84183</v>
      </c>
      <c r="L219" s="1" t="s">
        <v>357</v>
      </c>
      <c r="M219" s="59">
        <v>251123</v>
      </c>
      <c r="N219" s="60">
        <v>0.33600000000000002</v>
      </c>
    </row>
    <row r="220" spans="1:14">
      <c r="A220" s="65" t="s">
        <v>613</v>
      </c>
      <c r="B220" s="1" t="s">
        <v>74</v>
      </c>
      <c r="C220" s="2">
        <v>0.47</v>
      </c>
      <c r="D220" s="2">
        <v>9.9000000000000005E-2</v>
      </c>
      <c r="E220" s="2">
        <v>0.125</v>
      </c>
      <c r="F220" s="2">
        <v>8.2000000000000003E-2</v>
      </c>
      <c r="G220" s="2">
        <v>0.115</v>
      </c>
      <c r="H220" s="2">
        <v>5.7000000000000002E-2</v>
      </c>
      <c r="I220" s="2">
        <v>0</v>
      </c>
      <c r="J220" s="2">
        <v>5.0999999999999997E-2</v>
      </c>
      <c r="K220" s="3">
        <v>38938</v>
      </c>
      <c r="L220" s="6" t="s">
        <v>61</v>
      </c>
      <c r="M220" s="21">
        <v>124842</v>
      </c>
      <c r="N220" s="2">
        <f>K220/M220</f>
        <v>0.31189823937456945</v>
      </c>
    </row>
    <row r="221" spans="1:14" s="4" customFormat="1">
      <c r="A221" s="65" t="s">
        <v>614</v>
      </c>
      <c r="B221" s="30" t="s">
        <v>185</v>
      </c>
      <c r="C221" s="31">
        <v>0.41677034000000002</v>
      </c>
      <c r="D221" s="31">
        <v>0.27886289999999997</v>
      </c>
      <c r="E221" s="31">
        <v>3.8442400000000002E-2</v>
      </c>
      <c r="F221" s="31">
        <v>0.10198432</v>
      </c>
      <c r="G221" s="31">
        <v>8.9139090000000004E-2</v>
      </c>
      <c r="H221" s="31">
        <v>4.1210500000000004E-2</v>
      </c>
      <c r="I221" s="11">
        <v>0</v>
      </c>
      <c r="J221" s="2">
        <v>3.3500000000000002E-2</v>
      </c>
      <c r="K221" s="3">
        <v>32152</v>
      </c>
      <c r="L221" s="6" t="s">
        <v>155</v>
      </c>
      <c r="M221" s="32">
        <v>82346</v>
      </c>
      <c r="N221" s="33">
        <v>0.39045005000000005</v>
      </c>
    </row>
    <row r="222" spans="1:14">
      <c r="A222" s="65" t="s">
        <v>615</v>
      </c>
      <c r="B222" s="42" t="s">
        <v>319</v>
      </c>
      <c r="C222" s="43">
        <v>0.37830000000000003</v>
      </c>
      <c r="D222" s="43">
        <v>0.2402</v>
      </c>
      <c r="E222" s="43">
        <v>4.9799999999999997E-2</v>
      </c>
      <c r="F222" s="43">
        <v>0.1749</v>
      </c>
      <c r="G222" s="43">
        <v>8.1470000000000001E-2</v>
      </c>
      <c r="H222" s="43">
        <v>3.0589999999999999E-2</v>
      </c>
      <c r="I222" s="2">
        <v>0</v>
      </c>
      <c r="J222" s="2">
        <v>4.4499999999999998E-2</v>
      </c>
      <c r="K222" s="3">
        <v>61813</v>
      </c>
      <c r="L222" s="1" t="s">
        <v>302</v>
      </c>
      <c r="M222" s="44">
        <v>161119</v>
      </c>
      <c r="N222" s="2">
        <v>0.38540000000000002</v>
      </c>
    </row>
    <row r="223" spans="1:14">
      <c r="A223" s="65" t="s">
        <v>616</v>
      </c>
      <c r="B223" s="5" t="s">
        <v>15</v>
      </c>
      <c r="C223" s="2">
        <v>0.33800000000000002</v>
      </c>
      <c r="D223" s="2">
        <v>0.185</v>
      </c>
      <c r="E223" s="2">
        <v>0.22</v>
      </c>
      <c r="F223" s="2">
        <v>8.5999999999999993E-2</v>
      </c>
      <c r="G223" s="2">
        <v>7.5999999999999998E-2</v>
      </c>
      <c r="H223" s="2">
        <v>5.3999999999999999E-2</v>
      </c>
      <c r="I223" s="2">
        <v>0</v>
      </c>
      <c r="J223" s="2">
        <v>4.2000000000000003E-2</v>
      </c>
      <c r="K223" s="3">
        <v>53099</v>
      </c>
      <c r="L223" s="6" t="s">
        <v>8</v>
      </c>
      <c r="M223" s="3">
        <v>153171</v>
      </c>
      <c r="N223" s="2">
        <f>53099/M223</f>
        <v>0.3466648386443909</v>
      </c>
    </row>
    <row r="224" spans="1:14">
      <c r="A224" s="65" t="s">
        <v>617</v>
      </c>
      <c r="B224" s="26" t="s">
        <v>135</v>
      </c>
      <c r="C224" s="2">
        <v>0.497</v>
      </c>
      <c r="D224" s="2">
        <v>0.11799999999999999</v>
      </c>
      <c r="E224" s="2">
        <v>9.7000000000000003E-2</v>
      </c>
      <c r="F224" s="2">
        <v>8.4000000000000005E-2</v>
      </c>
      <c r="G224" s="2">
        <v>0.106</v>
      </c>
      <c r="H224" s="2">
        <v>6.7000000000000004E-2</v>
      </c>
      <c r="I224" s="2">
        <v>0</v>
      </c>
      <c r="J224" s="2">
        <v>3.2000000000000001E-2</v>
      </c>
      <c r="K224" s="3">
        <v>15850</v>
      </c>
      <c r="L224" s="6" t="s">
        <v>124</v>
      </c>
      <c r="M224" s="27">
        <v>49147</v>
      </c>
      <c r="N224" s="2">
        <f>K224/M224</f>
        <v>0.32250188210877573</v>
      </c>
    </row>
    <row r="225" spans="1:14">
      <c r="A225" s="65" t="s">
        <v>618</v>
      </c>
      <c r="B225" s="22" t="s">
        <v>112</v>
      </c>
      <c r="C225" s="2">
        <v>0.433</v>
      </c>
      <c r="D225" s="2">
        <v>0.16400000000000001</v>
      </c>
      <c r="E225" s="2">
        <v>9.1999999999999998E-2</v>
      </c>
      <c r="F225" s="2">
        <v>9.9000000000000005E-2</v>
      </c>
      <c r="G225" s="2">
        <v>0.113</v>
      </c>
      <c r="H225" s="2">
        <v>5.0999999999999997E-2</v>
      </c>
      <c r="I225" s="2">
        <v>0</v>
      </c>
      <c r="J225" s="2">
        <v>4.8000000000000001E-2</v>
      </c>
      <c r="K225" s="3">
        <v>25439</v>
      </c>
      <c r="L225" s="6" t="s">
        <v>83</v>
      </c>
      <c r="M225" s="24">
        <v>78220</v>
      </c>
      <c r="N225" s="2">
        <f>K225/M225</f>
        <v>0.3252237279468167</v>
      </c>
    </row>
    <row r="226" spans="1:14">
      <c r="A226" s="65" t="s">
        <v>619</v>
      </c>
      <c r="B226" s="22" t="s">
        <v>113</v>
      </c>
      <c r="C226" s="2">
        <v>0.373</v>
      </c>
      <c r="D226" s="2">
        <v>0.16400000000000001</v>
      </c>
      <c r="E226" s="2">
        <v>0.155</v>
      </c>
      <c r="F226" s="2">
        <v>0.105</v>
      </c>
      <c r="G226" s="2">
        <v>0.10299999999999999</v>
      </c>
      <c r="H226" s="2">
        <v>4.7E-2</v>
      </c>
      <c r="I226" s="2">
        <v>0</v>
      </c>
      <c r="J226" s="2">
        <v>5.2999999999999999E-2</v>
      </c>
      <c r="K226" s="3">
        <v>53087</v>
      </c>
      <c r="L226" s="6" t="s">
        <v>83</v>
      </c>
      <c r="M226" s="24">
        <v>144737</v>
      </c>
      <c r="N226" s="2">
        <f>K226/M226</f>
        <v>0.36678250896453568</v>
      </c>
    </row>
    <row r="227" spans="1:14">
      <c r="A227" s="65" t="s">
        <v>620</v>
      </c>
      <c r="B227" s="5" t="s">
        <v>16</v>
      </c>
      <c r="C227" s="2">
        <v>0.38100000000000001</v>
      </c>
      <c r="D227" s="2">
        <v>0.223</v>
      </c>
      <c r="E227" s="2">
        <v>0.14299999999999999</v>
      </c>
      <c r="F227" s="2">
        <v>7.4999999999999997E-2</v>
      </c>
      <c r="G227" s="2">
        <v>9.0999999999999998E-2</v>
      </c>
      <c r="H227" s="2">
        <v>4.5999999999999999E-2</v>
      </c>
      <c r="I227" s="2">
        <v>0</v>
      </c>
      <c r="J227" s="2">
        <v>0.04</v>
      </c>
      <c r="K227" s="3">
        <v>82412</v>
      </c>
      <c r="L227" s="6" t="s">
        <v>8</v>
      </c>
      <c r="M227" s="3">
        <v>244289</v>
      </c>
      <c r="N227" s="2">
        <v>0.33700000000000002</v>
      </c>
    </row>
    <row r="228" spans="1:14">
      <c r="A228" s="65" t="s">
        <v>621</v>
      </c>
      <c r="B228" s="30" t="s">
        <v>186</v>
      </c>
      <c r="C228" s="31">
        <v>0.21298036000000001</v>
      </c>
      <c r="D228" s="31">
        <v>0.239671</v>
      </c>
      <c r="E228" s="31">
        <v>0.16992128999999997</v>
      </c>
      <c r="F228" s="31">
        <v>0.25952555999999999</v>
      </c>
      <c r="G228" s="31">
        <v>5.2155680000000003E-2</v>
      </c>
      <c r="H228" s="31">
        <v>2.5846339999999999E-2</v>
      </c>
      <c r="I228" s="11">
        <v>0</v>
      </c>
      <c r="J228" s="2">
        <v>3.9800000000000002E-2</v>
      </c>
      <c r="K228" s="3">
        <v>36717</v>
      </c>
      <c r="L228" s="6" t="s">
        <v>155</v>
      </c>
      <c r="M228" s="32">
        <v>95128</v>
      </c>
      <c r="N228" s="33">
        <v>0.38597468999999995</v>
      </c>
    </row>
    <row r="229" spans="1:14">
      <c r="A229" s="65" t="s">
        <v>622</v>
      </c>
      <c r="B229" s="22" t="s">
        <v>114</v>
      </c>
      <c r="C229" s="2">
        <v>0.25800000000000001</v>
      </c>
      <c r="D229" s="2">
        <v>0.154</v>
      </c>
      <c r="E229" s="2">
        <v>0.29699999999999999</v>
      </c>
      <c r="F229" s="2">
        <v>0.14199999999999999</v>
      </c>
      <c r="G229" s="2">
        <v>0.06</v>
      </c>
      <c r="H229" s="2">
        <v>4.4999999999999998E-2</v>
      </c>
      <c r="I229" s="2">
        <v>0</v>
      </c>
      <c r="J229" s="2">
        <v>4.2999999999999997E-2</v>
      </c>
      <c r="K229" s="3">
        <v>61231</v>
      </c>
      <c r="L229" s="6" t="s">
        <v>83</v>
      </c>
      <c r="M229" s="24">
        <v>200009</v>
      </c>
      <c r="N229" s="2">
        <f>K229/M229</f>
        <v>0.30614122364493596</v>
      </c>
    </row>
    <row r="230" spans="1:14">
      <c r="A230" s="65" t="s">
        <v>623</v>
      </c>
      <c r="B230" s="26" t="s">
        <v>136</v>
      </c>
      <c r="C230" s="2">
        <v>0.45600000000000002</v>
      </c>
      <c r="D230" s="2">
        <v>0.12</v>
      </c>
      <c r="E230" s="2">
        <v>0.14899999999999999</v>
      </c>
      <c r="F230" s="2">
        <v>8.7999999999999995E-2</v>
      </c>
      <c r="G230" s="2">
        <v>9.6000000000000002E-2</v>
      </c>
      <c r="H230" s="2">
        <v>6.2E-2</v>
      </c>
      <c r="I230" s="2">
        <v>0</v>
      </c>
      <c r="J230" s="2">
        <v>0.03</v>
      </c>
      <c r="K230" s="3">
        <v>31499</v>
      </c>
      <c r="L230" s="6" t="s">
        <v>124</v>
      </c>
      <c r="M230" s="27">
        <v>94649</v>
      </c>
      <c r="N230" s="2">
        <f>K230/M230</f>
        <v>0.33279802216610849</v>
      </c>
    </row>
    <row r="231" spans="1:14">
      <c r="A231" s="65" t="s">
        <v>624</v>
      </c>
      <c r="B231" s="22" t="s">
        <v>115</v>
      </c>
      <c r="C231" s="2">
        <v>0.33800000000000002</v>
      </c>
      <c r="D231" s="2">
        <v>0.252</v>
      </c>
      <c r="E231" s="2">
        <v>0.129</v>
      </c>
      <c r="F231" s="2">
        <v>8.7999999999999995E-2</v>
      </c>
      <c r="G231" s="2">
        <v>0.11799999999999999</v>
      </c>
      <c r="H231" s="2">
        <v>4.2000000000000003E-2</v>
      </c>
      <c r="I231" s="2">
        <v>0</v>
      </c>
      <c r="J231" s="2">
        <v>3.4000000000000002E-2</v>
      </c>
      <c r="K231" s="3">
        <v>14169</v>
      </c>
      <c r="L231" s="6" t="s">
        <v>83</v>
      </c>
      <c r="M231" s="24">
        <v>42396</v>
      </c>
      <c r="N231" s="2">
        <f>K231/M231</f>
        <v>0.33420605717520518</v>
      </c>
    </row>
    <row r="232" spans="1:14">
      <c r="A232" s="65" t="s">
        <v>625</v>
      </c>
      <c r="B232" s="1" t="s">
        <v>42</v>
      </c>
      <c r="C232" s="2">
        <v>0.30399999999999999</v>
      </c>
      <c r="D232" s="2">
        <v>0.11799999999999999</v>
      </c>
      <c r="E232" s="2">
        <v>0.33800000000000002</v>
      </c>
      <c r="F232" s="2">
        <v>7.8E-2</v>
      </c>
      <c r="G232" s="2">
        <v>4.9000000000000002E-2</v>
      </c>
      <c r="H232" s="2">
        <v>4.5999999999999999E-2</v>
      </c>
      <c r="I232" s="2">
        <v>0</v>
      </c>
      <c r="J232" s="2">
        <v>6.6000000000000003E-2</v>
      </c>
      <c r="K232" s="13">
        <v>51878</v>
      </c>
      <c r="L232" s="3" t="s">
        <v>21</v>
      </c>
      <c r="M232" s="3">
        <v>159828</v>
      </c>
      <c r="N232" s="2">
        <v>0.32500000000000001</v>
      </c>
    </row>
    <row r="233" spans="1:14">
      <c r="A233" s="65" t="s">
        <v>626</v>
      </c>
      <c r="B233" s="55" t="s">
        <v>380</v>
      </c>
      <c r="C233" s="56">
        <v>0.16232747804265998</v>
      </c>
      <c r="D233" s="57">
        <v>0.33463399406898703</v>
      </c>
      <c r="E233" s="57">
        <v>3.1840174808802871E-2</v>
      </c>
      <c r="F233" s="57">
        <v>0.1130014047135945</v>
      </c>
      <c r="G233" s="56">
        <v>7.7883564850944276E-2</v>
      </c>
      <c r="H233" s="56">
        <v>2.4386455420938178E-2</v>
      </c>
      <c r="I233" s="56">
        <v>0.24161073825503357</v>
      </c>
      <c r="J233" s="57">
        <v>1.4983611674730763E-2</v>
      </c>
      <c r="K233" s="58">
        <v>6407</v>
      </c>
      <c r="L233" s="1" t="s">
        <v>357</v>
      </c>
      <c r="M233" s="59">
        <v>16804</v>
      </c>
      <c r="N233" s="60">
        <v>0.38299999999999995</v>
      </c>
    </row>
    <row r="234" spans="1:14">
      <c r="A234" s="65" t="s">
        <v>627</v>
      </c>
      <c r="B234" s="39" t="s">
        <v>271</v>
      </c>
      <c r="C234" s="40">
        <v>0.1328</v>
      </c>
      <c r="D234" s="40">
        <v>0.40289999999999998</v>
      </c>
      <c r="E234" s="40">
        <v>0.14269999999999999</v>
      </c>
      <c r="F234" s="40">
        <v>0.2268</v>
      </c>
      <c r="G234" s="40">
        <v>3.8800000000000001E-2</v>
      </c>
      <c r="H234" s="40">
        <v>1.1299999999999999E-2</v>
      </c>
      <c r="I234" s="11">
        <v>0</v>
      </c>
      <c r="J234" s="2">
        <v>4.3999999999999997E-2</v>
      </c>
      <c r="K234" s="9">
        <v>45141</v>
      </c>
      <c r="L234" s="1" t="s">
        <v>235</v>
      </c>
      <c r="M234" s="9">
        <v>95420</v>
      </c>
      <c r="N234" s="8">
        <v>0.47600000000000003</v>
      </c>
    </row>
    <row r="235" spans="1:14">
      <c r="A235" s="65" t="s">
        <v>628</v>
      </c>
      <c r="B235" s="5" t="s">
        <v>349</v>
      </c>
      <c r="C235" s="2">
        <v>0.38140000000000002</v>
      </c>
      <c r="D235" s="2">
        <v>0.1221</v>
      </c>
      <c r="E235" s="2">
        <v>0.1118</v>
      </c>
      <c r="F235" s="2">
        <v>7.0400000000000004E-2</v>
      </c>
      <c r="G235" s="2">
        <v>0.10009999999999999</v>
      </c>
      <c r="H235" s="2">
        <v>3.3799999999999997E-2</v>
      </c>
      <c r="I235" s="53">
        <v>0.156</v>
      </c>
      <c r="J235" s="2">
        <v>2.3E-2</v>
      </c>
      <c r="K235" s="54">
        <v>36091</v>
      </c>
      <c r="L235" s="5" t="s">
        <v>334</v>
      </c>
      <c r="M235" s="32">
        <v>91919</v>
      </c>
      <c r="N235" s="2">
        <v>0.39263916999999998</v>
      </c>
    </row>
    <row r="236" spans="1:14">
      <c r="A236" s="65" t="s">
        <v>629</v>
      </c>
      <c r="B236" s="17" t="s">
        <v>43</v>
      </c>
      <c r="C236" s="16">
        <v>0.34399999999999997</v>
      </c>
      <c r="D236" s="16">
        <v>0.105</v>
      </c>
      <c r="E236" s="16">
        <v>0.26100000000000001</v>
      </c>
      <c r="F236" s="16">
        <v>7.3999999999999996E-2</v>
      </c>
      <c r="G236" s="16">
        <v>0.126</v>
      </c>
      <c r="H236" s="16">
        <v>4.1000000000000002E-2</v>
      </c>
      <c r="I236" s="2">
        <v>0</v>
      </c>
      <c r="J236" s="2">
        <v>0.05</v>
      </c>
      <c r="K236" s="13">
        <v>22105</v>
      </c>
      <c r="L236" s="3" t="s">
        <v>21</v>
      </c>
      <c r="M236" s="14">
        <v>64593</v>
      </c>
      <c r="N236" s="15">
        <v>0.34200000000000003</v>
      </c>
    </row>
    <row r="237" spans="1:14">
      <c r="A237" s="65" t="s">
        <v>630</v>
      </c>
      <c r="B237" s="55" t="s">
        <v>381</v>
      </c>
      <c r="C237" s="56">
        <v>0.16056539347256413</v>
      </c>
      <c r="D237" s="57">
        <v>0.14537471073399394</v>
      </c>
      <c r="E237" s="57">
        <v>3.0024328012816709E-2</v>
      </c>
      <c r="F237" s="57">
        <v>7.3142269427797224E-2</v>
      </c>
      <c r="G237" s="56">
        <v>0.19494056448901284</v>
      </c>
      <c r="H237" s="56">
        <v>1.5173609742639814E-2</v>
      </c>
      <c r="I237" s="56">
        <v>0.35831404893292984</v>
      </c>
      <c r="J237" s="57">
        <v>2.3002828378725845E-2</v>
      </c>
      <c r="K237" s="58">
        <v>50559</v>
      </c>
      <c r="L237" s="1" t="s">
        <v>357</v>
      </c>
      <c r="M237" s="59">
        <v>110570</v>
      </c>
      <c r="N237" s="60">
        <v>0.45899999999999996</v>
      </c>
    </row>
    <row r="238" spans="1:14">
      <c r="A238" s="65" t="s">
        <v>631</v>
      </c>
      <c r="B238" s="30" t="s">
        <v>187</v>
      </c>
      <c r="C238" s="31">
        <v>0.38307434000000001</v>
      </c>
      <c r="D238" s="31">
        <v>0.15352776000000001</v>
      </c>
      <c r="E238" s="31">
        <v>0.17200028000000001</v>
      </c>
      <c r="F238" s="31">
        <v>0.10792592000000001</v>
      </c>
      <c r="G238" s="31">
        <v>0.10865915</v>
      </c>
      <c r="H238" s="31">
        <v>3.6353749999999997E-2</v>
      </c>
      <c r="I238" s="11">
        <v>0</v>
      </c>
      <c r="J238" s="2">
        <v>3.8399999999999997E-2</v>
      </c>
      <c r="K238" s="3">
        <v>42279</v>
      </c>
      <c r="L238" s="6" t="s">
        <v>155</v>
      </c>
      <c r="M238" s="32">
        <v>121036</v>
      </c>
      <c r="N238" s="33">
        <v>0.34930929999999999</v>
      </c>
    </row>
    <row r="239" spans="1:14">
      <c r="A239" s="65" t="s">
        <v>632</v>
      </c>
      <c r="B239" s="42" t="s">
        <v>320</v>
      </c>
      <c r="C239" s="43">
        <v>0.42830000000000001</v>
      </c>
      <c r="D239" s="43">
        <v>0.14080000000000001</v>
      </c>
      <c r="E239" s="43">
        <v>0.1226</v>
      </c>
      <c r="F239" s="43">
        <v>0.13719999999999999</v>
      </c>
      <c r="G239" s="43">
        <v>8.5900000000000004E-2</v>
      </c>
      <c r="H239" s="43">
        <v>4.65E-2</v>
      </c>
      <c r="I239" s="2">
        <v>0</v>
      </c>
      <c r="J239" s="2">
        <v>3.8300000000000001E-2</v>
      </c>
      <c r="K239" s="3">
        <v>66037</v>
      </c>
      <c r="L239" s="1" t="s">
        <v>302</v>
      </c>
      <c r="M239" s="44">
        <v>190303</v>
      </c>
      <c r="N239" s="2">
        <v>0.34889999999999999</v>
      </c>
    </row>
    <row r="240" spans="1:14">
      <c r="A240" s="65" t="s">
        <v>633</v>
      </c>
      <c r="B240" s="39" t="s">
        <v>272</v>
      </c>
      <c r="C240" s="40">
        <v>0.39450000000000002</v>
      </c>
      <c r="D240" s="40">
        <v>0.22839000000000001</v>
      </c>
      <c r="E240" s="40">
        <v>0.1066</v>
      </c>
      <c r="F240" s="40">
        <v>0.12644</v>
      </c>
      <c r="G240" s="40">
        <v>7.2559999999999999E-2</v>
      </c>
      <c r="H240" s="40">
        <v>3.2379999999999999E-2</v>
      </c>
      <c r="I240" s="11">
        <v>0</v>
      </c>
      <c r="J240" s="2">
        <v>3.9E-2</v>
      </c>
      <c r="K240" s="9">
        <v>46416</v>
      </c>
      <c r="L240" s="1" t="s">
        <v>235</v>
      </c>
      <c r="M240" s="9">
        <v>139359</v>
      </c>
      <c r="N240" s="8">
        <v>0.33500000000000002</v>
      </c>
    </row>
    <row r="241" spans="1:14">
      <c r="A241" s="65" t="s">
        <v>634</v>
      </c>
      <c r="B241" s="5" t="s">
        <v>350</v>
      </c>
      <c r="C241" s="2">
        <v>0.35310000000000002</v>
      </c>
      <c r="D241" s="2">
        <v>0.23810000000000001</v>
      </c>
      <c r="E241" s="2">
        <v>7.3700000000000002E-2</v>
      </c>
      <c r="F241" s="2">
        <v>7.0000000000000007E-2</v>
      </c>
      <c r="G241" s="2">
        <v>9.0200000000000002E-2</v>
      </c>
      <c r="H241" s="2">
        <v>3.27E-2</v>
      </c>
      <c r="I241" s="53">
        <v>0.12239999999999999</v>
      </c>
      <c r="J241" s="2">
        <v>0.02</v>
      </c>
      <c r="K241" s="54">
        <v>42283</v>
      </c>
      <c r="L241" s="5" t="s">
        <v>334</v>
      </c>
      <c r="M241" s="32">
        <v>100843</v>
      </c>
      <c r="N241" s="2">
        <v>0.41929533999999996</v>
      </c>
    </row>
    <row r="242" spans="1:14">
      <c r="A242" s="65" t="s">
        <v>635</v>
      </c>
      <c r="B242" s="17" t="s">
        <v>44</v>
      </c>
      <c r="C242" s="16">
        <v>0.27200000000000002</v>
      </c>
      <c r="D242" s="16">
        <v>0.16200000000000001</v>
      </c>
      <c r="E242" s="16">
        <v>0.312</v>
      </c>
      <c r="F242" s="16">
        <v>0.09</v>
      </c>
      <c r="G242" s="16">
        <v>7.4999999999999997E-2</v>
      </c>
      <c r="H242" s="16">
        <v>3.5000000000000003E-2</v>
      </c>
      <c r="I242" s="2">
        <v>0</v>
      </c>
      <c r="J242" s="2">
        <v>5.3999999999999999E-2</v>
      </c>
      <c r="K242" s="13">
        <v>32738</v>
      </c>
      <c r="L242" s="3" t="s">
        <v>21</v>
      </c>
      <c r="M242" s="14">
        <v>93631</v>
      </c>
      <c r="N242" s="15">
        <v>0.35</v>
      </c>
    </row>
    <row r="243" spans="1:14">
      <c r="A243" s="65" t="s">
        <v>636</v>
      </c>
      <c r="B243" s="39" t="s">
        <v>273</v>
      </c>
      <c r="C243" s="40">
        <v>0.22339999999999999</v>
      </c>
      <c r="D243" s="40">
        <v>0.28189999999999998</v>
      </c>
      <c r="E243" s="40">
        <v>0.16789999999999999</v>
      </c>
      <c r="F243" s="40">
        <v>0.17330000000000001</v>
      </c>
      <c r="G243" s="40">
        <v>7.9299999999999995E-2</v>
      </c>
      <c r="H243" s="40">
        <v>1.6959999999999999E-2</v>
      </c>
      <c r="I243" s="11">
        <v>0</v>
      </c>
      <c r="J243" s="2">
        <v>5.7000000000000002E-2</v>
      </c>
      <c r="K243" s="9">
        <v>40428</v>
      </c>
      <c r="L243" s="1" t="s">
        <v>235</v>
      </c>
      <c r="M243" s="9">
        <v>105029</v>
      </c>
      <c r="N243" s="8">
        <v>0.38700000000000001</v>
      </c>
    </row>
    <row r="244" spans="1:14">
      <c r="A244" s="65" t="s">
        <v>637</v>
      </c>
      <c r="B244" s="37" t="s">
        <v>227</v>
      </c>
      <c r="C244" s="34">
        <v>0.1922838</v>
      </c>
      <c r="D244" s="34">
        <v>0.19276377</v>
      </c>
      <c r="E244" s="34">
        <v>0.33336627000000002</v>
      </c>
      <c r="F244" s="34">
        <v>8.4121520000000005E-2</v>
      </c>
      <c r="G244" s="34">
        <v>9.7828850000000009E-2</v>
      </c>
      <c r="H244" s="34">
        <v>2.1810330000000003E-2</v>
      </c>
      <c r="I244" s="35">
        <v>0</v>
      </c>
      <c r="J244" s="8">
        <v>7.7799999999999994E-2</v>
      </c>
      <c r="K244" s="9">
        <v>70838</v>
      </c>
      <c r="L244" s="1" t="s">
        <v>201</v>
      </c>
      <c r="M244" s="32">
        <v>188417</v>
      </c>
      <c r="N244" s="33">
        <v>0.37596394999999999</v>
      </c>
    </row>
    <row r="245" spans="1:14">
      <c r="A245" s="65" t="s">
        <v>638</v>
      </c>
      <c r="B245" s="5" t="s">
        <v>17</v>
      </c>
      <c r="C245" s="2">
        <v>0.48699999999999999</v>
      </c>
      <c r="D245" s="2">
        <v>0.13700000000000001</v>
      </c>
      <c r="E245" s="2">
        <v>0.13800000000000001</v>
      </c>
      <c r="F245" s="2">
        <v>5.8000000000000003E-2</v>
      </c>
      <c r="G245" s="2">
        <v>6.7000000000000004E-2</v>
      </c>
      <c r="H245" s="2">
        <v>7.3999999999999996E-2</v>
      </c>
      <c r="I245" s="2">
        <v>0</v>
      </c>
      <c r="J245" s="2">
        <v>3.9E-2</v>
      </c>
      <c r="K245" s="3">
        <v>30503</v>
      </c>
      <c r="L245" s="6" t="s">
        <v>8</v>
      </c>
      <c r="M245" s="3">
        <v>103379</v>
      </c>
      <c r="N245" s="2">
        <v>0.29499999999999998</v>
      </c>
    </row>
    <row r="246" spans="1:14">
      <c r="A246" s="65" t="s">
        <v>639</v>
      </c>
      <c r="B246" s="26" t="s">
        <v>137</v>
      </c>
      <c r="C246" s="2">
        <v>0.43099999999999999</v>
      </c>
      <c r="D246" s="2">
        <v>0.14000000000000001</v>
      </c>
      <c r="E246" s="2">
        <v>0.123</v>
      </c>
      <c r="F246" s="2">
        <v>8.6999999999999994E-2</v>
      </c>
      <c r="G246" s="2">
        <v>0.11600000000000001</v>
      </c>
      <c r="H246" s="2">
        <v>6.2E-2</v>
      </c>
      <c r="I246" s="2">
        <v>0</v>
      </c>
      <c r="J246" s="2">
        <v>4.1000000000000002E-2</v>
      </c>
      <c r="K246" s="3">
        <v>18947</v>
      </c>
      <c r="L246" s="6" t="s">
        <v>124</v>
      </c>
      <c r="M246" s="27">
        <v>59246</v>
      </c>
      <c r="N246" s="2">
        <f>K246/M246</f>
        <v>0.31980218073794009</v>
      </c>
    </row>
    <row r="247" spans="1:14">
      <c r="A247" s="65" t="s">
        <v>640</v>
      </c>
      <c r="B247" s="39" t="s">
        <v>274</v>
      </c>
      <c r="C247" s="40">
        <v>0.35610000000000003</v>
      </c>
      <c r="D247" s="40">
        <v>0.26235000000000003</v>
      </c>
      <c r="E247" s="40">
        <v>5.2400000000000002E-2</v>
      </c>
      <c r="F247" s="40">
        <v>0.13685</v>
      </c>
      <c r="G247" s="40">
        <v>0.11600000000000001</v>
      </c>
      <c r="H247" s="40">
        <v>2.1600000000000001E-2</v>
      </c>
      <c r="I247" s="11">
        <v>0</v>
      </c>
      <c r="J247" s="2">
        <v>5.3999999999999999E-2</v>
      </c>
      <c r="K247" s="9">
        <v>41124</v>
      </c>
      <c r="L247" s="1" t="s">
        <v>235</v>
      </c>
      <c r="M247" s="9">
        <v>103823</v>
      </c>
      <c r="N247" s="8">
        <v>0.39609720000000004</v>
      </c>
    </row>
    <row r="248" spans="1:14">
      <c r="A248" s="65" t="s">
        <v>641</v>
      </c>
      <c r="B248" s="55" t="s">
        <v>382</v>
      </c>
      <c r="C248" s="56">
        <v>0.13719465648854962</v>
      </c>
      <c r="D248" s="57">
        <v>0.10762093094006693</v>
      </c>
      <c r="E248" s="57">
        <v>0.13264374809857013</v>
      </c>
      <c r="F248" s="57">
        <v>6.7405689078186795E-2</v>
      </c>
      <c r="G248" s="56">
        <v>9.3949650136902957E-2</v>
      </c>
      <c r="H248" s="56">
        <v>1.8774628675356168E-2</v>
      </c>
      <c r="I248" s="56">
        <v>0.41584271372071796</v>
      </c>
      <c r="J248" s="57">
        <v>2.7000304228780043E-2</v>
      </c>
      <c r="K248" s="58">
        <v>52592</v>
      </c>
      <c r="L248" s="1" t="s">
        <v>357</v>
      </c>
      <c r="M248" s="59">
        <v>131088</v>
      </c>
      <c r="N248" s="60">
        <v>0.40299999999999997</v>
      </c>
    </row>
    <row r="249" spans="1:14">
      <c r="A249" s="65" t="s">
        <v>642</v>
      </c>
      <c r="B249" s="5" t="s">
        <v>351</v>
      </c>
      <c r="C249" s="2">
        <v>0.33750000000000002</v>
      </c>
      <c r="D249" s="2">
        <v>8.2799999999999999E-2</v>
      </c>
      <c r="E249" s="2">
        <v>0.21051</v>
      </c>
      <c r="F249" s="2">
        <v>5.04E-2</v>
      </c>
      <c r="G249" s="2">
        <v>3.5400000000000001E-2</v>
      </c>
      <c r="H249" s="2">
        <v>3.6909999999999998E-2</v>
      </c>
      <c r="I249" s="53">
        <v>0.21890000000000001</v>
      </c>
      <c r="J249" s="2">
        <v>2.8000000000000001E-2</v>
      </c>
      <c r="K249" s="54">
        <v>54285</v>
      </c>
      <c r="L249" s="5" t="s">
        <v>334</v>
      </c>
      <c r="M249" s="32">
        <v>169826</v>
      </c>
      <c r="N249" s="2">
        <v>0.31965070000000001</v>
      </c>
    </row>
    <row r="250" spans="1:14">
      <c r="A250" s="65" t="s">
        <v>643</v>
      </c>
      <c r="B250" s="17" t="s">
        <v>45</v>
      </c>
      <c r="C250" s="16">
        <v>0.39700000000000002</v>
      </c>
      <c r="D250" s="16">
        <v>0.19900000000000001</v>
      </c>
      <c r="E250" s="16">
        <v>6.4000000000000001E-2</v>
      </c>
      <c r="F250" s="16">
        <v>0.128</v>
      </c>
      <c r="G250" s="16">
        <v>0.13</v>
      </c>
      <c r="H250" s="16">
        <v>3.2000000000000001E-2</v>
      </c>
      <c r="I250" s="2">
        <v>0</v>
      </c>
      <c r="J250" s="2">
        <v>0.05</v>
      </c>
      <c r="K250" s="13">
        <v>17037</v>
      </c>
      <c r="L250" s="3" t="s">
        <v>21</v>
      </c>
      <c r="M250" s="14">
        <v>46576</v>
      </c>
      <c r="N250" s="15">
        <v>0.36599999999999999</v>
      </c>
    </row>
    <row r="251" spans="1:14">
      <c r="A251" s="65" t="s">
        <v>644</v>
      </c>
      <c r="B251" s="37" t="s">
        <v>228</v>
      </c>
      <c r="C251" s="34">
        <v>0.16116323000000002</v>
      </c>
      <c r="D251" s="34">
        <v>0.52348086999999999</v>
      </c>
      <c r="E251" s="34">
        <v>4.6892870000000003E-2</v>
      </c>
      <c r="F251" s="34">
        <v>0.10747889000000001</v>
      </c>
      <c r="G251" s="34">
        <v>7.8894080000000005E-2</v>
      </c>
      <c r="H251" s="34">
        <v>1.2012510000000001E-2</v>
      </c>
      <c r="I251" s="35">
        <v>0</v>
      </c>
      <c r="J251" s="8">
        <v>7.0000000000000007E-2</v>
      </c>
      <c r="K251" s="9">
        <v>72591</v>
      </c>
      <c r="L251" s="1" t="s">
        <v>201</v>
      </c>
      <c r="M251" s="32">
        <v>135457</v>
      </c>
      <c r="N251" s="33">
        <v>0.53589699999999996</v>
      </c>
    </row>
    <row r="252" spans="1:14">
      <c r="A252" s="65" t="s">
        <v>645</v>
      </c>
      <c r="B252" s="1" t="s">
        <v>75</v>
      </c>
      <c r="C252" s="2">
        <v>0.39800000000000002</v>
      </c>
      <c r="D252" s="2">
        <v>0.189</v>
      </c>
      <c r="E252" s="2">
        <v>4.1000000000000002E-2</v>
      </c>
      <c r="F252" s="2">
        <v>0.11799999999999999</v>
      </c>
      <c r="G252" s="2">
        <v>0.127</v>
      </c>
      <c r="H252" s="2">
        <v>3.5999999999999997E-2</v>
      </c>
      <c r="I252" s="2">
        <v>0</v>
      </c>
      <c r="J252" s="2">
        <v>9.0999999999999998E-2</v>
      </c>
      <c r="K252" s="3">
        <v>13260</v>
      </c>
      <c r="L252" s="6" t="s">
        <v>61</v>
      </c>
      <c r="M252" s="21">
        <v>36831</v>
      </c>
      <c r="N252" s="2">
        <f>K252/M252</f>
        <v>0.36002280687464366</v>
      </c>
    </row>
    <row r="253" spans="1:14">
      <c r="A253" s="65" t="s">
        <v>646</v>
      </c>
      <c r="B253" s="1" t="s">
        <v>46</v>
      </c>
      <c r="C253" s="2">
        <v>0.32300000000000001</v>
      </c>
      <c r="D253" s="2">
        <v>0.114</v>
      </c>
      <c r="E253" s="2">
        <v>0.3</v>
      </c>
      <c r="F253" s="2">
        <v>8.2000000000000003E-2</v>
      </c>
      <c r="G253" s="2">
        <v>5.7000000000000002E-2</v>
      </c>
      <c r="H253" s="2">
        <v>5.0999999999999997E-2</v>
      </c>
      <c r="I253" s="2">
        <v>0</v>
      </c>
      <c r="J253" s="2">
        <v>7.1999999999999995E-2</v>
      </c>
      <c r="K253" s="13">
        <v>47849</v>
      </c>
      <c r="L253" s="3" t="s">
        <v>21</v>
      </c>
      <c r="M253" s="3">
        <v>158133</v>
      </c>
      <c r="N253" s="2">
        <v>0.30299999999999999</v>
      </c>
    </row>
    <row r="254" spans="1:14">
      <c r="A254" s="65" t="s">
        <v>647</v>
      </c>
      <c r="B254" s="30" t="s">
        <v>188</v>
      </c>
      <c r="C254" s="31">
        <v>0.52771391999999995</v>
      </c>
      <c r="D254" s="31">
        <v>0.13946359999999999</v>
      </c>
      <c r="E254" s="31">
        <v>4.6104729999999997E-2</v>
      </c>
      <c r="F254" s="31">
        <v>0.10549170000000001</v>
      </c>
      <c r="G254" s="31">
        <v>9.369944999999999E-2</v>
      </c>
      <c r="H254" s="31">
        <v>4.1932739999999996E-2</v>
      </c>
      <c r="I254" s="11">
        <v>0</v>
      </c>
      <c r="J254" s="2">
        <v>4.5499999999999999E-2</v>
      </c>
      <c r="K254" s="3">
        <v>23490</v>
      </c>
      <c r="L254" s="6" t="s">
        <v>155</v>
      </c>
      <c r="M254" s="32">
        <v>66280</v>
      </c>
      <c r="N254" s="33">
        <v>0.35440555000000001</v>
      </c>
    </row>
    <row r="255" spans="1:14">
      <c r="A255" s="65" t="s">
        <v>648</v>
      </c>
      <c r="B255" s="17" t="s">
        <v>47</v>
      </c>
      <c r="C255" s="16">
        <v>0.372</v>
      </c>
      <c r="D255" s="16">
        <v>0.13100000000000001</v>
      </c>
      <c r="E255" s="16">
        <v>0.16300000000000001</v>
      </c>
      <c r="F255" s="16">
        <v>0.124</v>
      </c>
      <c r="G255" s="16">
        <v>9.6000000000000002E-2</v>
      </c>
      <c r="H255" s="16">
        <v>4.2999999999999997E-2</v>
      </c>
      <c r="I255" s="2">
        <v>0</v>
      </c>
      <c r="J255" s="2">
        <v>7.0000000000000007E-2</v>
      </c>
      <c r="K255" s="13">
        <v>17662</v>
      </c>
      <c r="L255" s="3" t="s">
        <v>21</v>
      </c>
      <c r="M255" s="14">
        <v>51242</v>
      </c>
      <c r="N255" s="15">
        <v>0.34499999999999997</v>
      </c>
    </row>
    <row r="256" spans="1:14">
      <c r="A256" s="65" t="s">
        <v>649</v>
      </c>
      <c r="B256" s="39" t="s">
        <v>275</v>
      </c>
      <c r="C256" s="40">
        <v>0.4728</v>
      </c>
      <c r="D256" s="40">
        <v>0.20019999999999999</v>
      </c>
      <c r="E256" s="40">
        <v>4.6199999999999998E-2</v>
      </c>
      <c r="F256" s="40">
        <v>0.1157</v>
      </c>
      <c r="G256" s="40">
        <v>8.9399999999999993E-2</v>
      </c>
      <c r="H256" s="40">
        <v>2.7799999999999998E-2</v>
      </c>
      <c r="I256" s="11">
        <v>0</v>
      </c>
      <c r="J256" s="2">
        <v>4.7660000000000001E-2</v>
      </c>
      <c r="K256" s="9">
        <v>30313</v>
      </c>
      <c r="L256" s="1" t="s">
        <v>235</v>
      </c>
      <c r="M256" s="9">
        <v>73725</v>
      </c>
      <c r="N256" s="8">
        <v>0.41369999999999996</v>
      </c>
    </row>
    <row r="257" spans="1:14">
      <c r="A257" s="65" t="s">
        <v>650</v>
      </c>
      <c r="B257" s="1" t="s">
        <v>76</v>
      </c>
      <c r="C257" s="2">
        <v>0.433</v>
      </c>
      <c r="D257" s="2">
        <v>8.7999999999999995E-2</v>
      </c>
      <c r="E257" s="2">
        <v>0.123</v>
      </c>
      <c r="F257" s="2">
        <v>8.7999999999999995E-2</v>
      </c>
      <c r="G257" s="2">
        <v>5.1999999999999998E-2</v>
      </c>
      <c r="H257" s="2">
        <v>6.3E-2</v>
      </c>
      <c r="I257" s="2">
        <v>0</v>
      </c>
      <c r="J257" s="2">
        <v>9.4E-2</v>
      </c>
      <c r="K257" s="3">
        <v>62241</v>
      </c>
      <c r="L257" s="6" t="s">
        <v>61</v>
      </c>
      <c r="M257" s="21">
        <v>192857</v>
      </c>
      <c r="N257" s="2">
        <f>K257/M257</f>
        <v>0.3227313501713705</v>
      </c>
    </row>
    <row r="258" spans="1:14">
      <c r="A258" s="65" t="s">
        <v>651</v>
      </c>
      <c r="B258" s="26" t="s">
        <v>138</v>
      </c>
      <c r="C258" s="2">
        <v>0.38</v>
      </c>
      <c r="D258" s="2">
        <v>0.216</v>
      </c>
      <c r="E258" s="2">
        <v>0.10100000000000001</v>
      </c>
      <c r="F258" s="2">
        <v>0.108</v>
      </c>
      <c r="G258" s="2">
        <v>0.115</v>
      </c>
      <c r="H258" s="2">
        <v>4.2000000000000003E-2</v>
      </c>
      <c r="I258" s="2">
        <v>0</v>
      </c>
      <c r="J258" s="2">
        <v>3.6999999999999998E-2</v>
      </c>
      <c r="K258" s="3">
        <v>28948</v>
      </c>
      <c r="L258" s="6" t="s">
        <v>124</v>
      </c>
      <c r="M258" s="27">
        <v>75279</v>
      </c>
      <c r="N258" s="2">
        <f>K258/M258</f>
        <v>0.38454283399088723</v>
      </c>
    </row>
    <row r="259" spans="1:14">
      <c r="A259" s="65" t="s">
        <v>652</v>
      </c>
      <c r="B259" s="39" t="s">
        <v>276</v>
      </c>
      <c r="C259" s="40">
        <v>0.37409999999999999</v>
      </c>
      <c r="D259" s="40">
        <v>0.23805000000000001</v>
      </c>
      <c r="E259" s="40">
        <v>6.3200000000000006E-2</v>
      </c>
      <c r="F259" s="40">
        <v>0.12239999999999999</v>
      </c>
      <c r="G259" s="40">
        <v>0.1183</v>
      </c>
      <c r="H259" s="40">
        <v>2.6700000000000002E-2</v>
      </c>
      <c r="I259" s="11">
        <v>0</v>
      </c>
      <c r="J259" s="2">
        <v>5.7000000000000002E-2</v>
      </c>
      <c r="K259" s="9">
        <v>21062</v>
      </c>
      <c r="L259" s="1" t="s">
        <v>235</v>
      </c>
      <c r="M259" s="9">
        <v>58224</v>
      </c>
      <c r="N259" s="8">
        <v>0.36399999999999999</v>
      </c>
    </row>
    <row r="260" spans="1:14">
      <c r="A260" s="65" t="s">
        <v>653</v>
      </c>
      <c r="B260" s="22" t="s">
        <v>116</v>
      </c>
      <c r="C260" s="2">
        <v>0.27200000000000002</v>
      </c>
      <c r="D260" s="2">
        <v>0.27300000000000002</v>
      </c>
      <c r="E260" s="2">
        <v>8.5000000000000006E-2</v>
      </c>
      <c r="F260" s="2">
        <v>0.156</v>
      </c>
      <c r="G260" s="2">
        <v>0.13100000000000001</v>
      </c>
      <c r="H260" s="2">
        <v>2.7E-2</v>
      </c>
      <c r="I260" s="2">
        <v>0</v>
      </c>
      <c r="J260" s="2">
        <v>5.6000000000000001E-2</v>
      </c>
      <c r="K260" s="3">
        <v>38684</v>
      </c>
      <c r="L260" s="6" t="s">
        <v>83</v>
      </c>
      <c r="M260" s="24">
        <v>86709</v>
      </c>
      <c r="N260" s="2">
        <f>K260/M260</f>
        <v>0.44613592591311169</v>
      </c>
    </row>
    <row r="261" spans="1:14">
      <c r="A261" s="65" t="s">
        <v>654</v>
      </c>
      <c r="B261" s="39" t="s">
        <v>277</v>
      </c>
      <c r="C261" s="40">
        <v>0.37440000000000001</v>
      </c>
      <c r="D261" s="40">
        <v>0.21701000000000001</v>
      </c>
      <c r="E261" s="40">
        <v>0.1041</v>
      </c>
      <c r="F261" s="40">
        <v>0.1118</v>
      </c>
      <c r="G261" s="40">
        <v>0.11096</v>
      </c>
      <c r="H261" s="40">
        <v>3.39E-2</v>
      </c>
      <c r="I261" s="11">
        <v>0</v>
      </c>
      <c r="J261" s="2">
        <v>4.7449999999999999E-2</v>
      </c>
      <c r="K261" s="9">
        <v>22169</v>
      </c>
      <c r="L261" s="1" t="s">
        <v>235</v>
      </c>
      <c r="M261" s="9">
        <v>63240</v>
      </c>
      <c r="N261" s="8">
        <v>0.35200000000000004</v>
      </c>
    </row>
    <row r="262" spans="1:14">
      <c r="A262" s="65" t="s">
        <v>655</v>
      </c>
      <c r="B262" s="22" t="s">
        <v>117</v>
      </c>
      <c r="C262" s="2">
        <v>0.36099999999999999</v>
      </c>
      <c r="D262" s="2">
        <v>0.25</v>
      </c>
      <c r="E262" s="2">
        <v>4.2000000000000003E-2</v>
      </c>
      <c r="F262" s="2">
        <v>0.13</v>
      </c>
      <c r="G262" s="2">
        <v>0.13700000000000001</v>
      </c>
      <c r="H262" s="2">
        <v>3.3000000000000002E-2</v>
      </c>
      <c r="I262" s="2">
        <v>0</v>
      </c>
      <c r="J262" s="2">
        <v>4.7E-2</v>
      </c>
      <c r="K262" s="3">
        <v>11557</v>
      </c>
      <c r="L262" s="6" t="s">
        <v>83</v>
      </c>
      <c r="M262" s="24">
        <v>28981</v>
      </c>
      <c r="N262" s="2">
        <f>K262/M262</f>
        <v>0.39877851005831405</v>
      </c>
    </row>
    <row r="263" spans="1:14">
      <c r="A263" s="65" t="s">
        <v>656</v>
      </c>
      <c r="B263" s="1" t="s">
        <v>77</v>
      </c>
      <c r="C263" s="2">
        <v>0.379</v>
      </c>
      <c r="D263" s="2">
        <v>0.19500000000000001</v>
      </c>
      <c r="E263" s="2">
        <v>4.9000000000000002E-2</v>
      </c>
      <c r="F263" s="2">
        <v>0.13</v>
      </c>
      <c r="G263" s="2">
        <v>0.123</v>
      </c>
      <c r="H263" s="2">
        <v>3.3000000000000002E-2</v>
      </c>
      <c r="I263" s="2">
        <v>0</v>
      </c>
      <c r="J263" s="2">
        <v>9.0999999999999998E-2</v>
      </c>
      <c r="K263" s="3">
        <v>16329</v>
      </c>
      <c r="L263" s="6" t="s">
        <v>61</v>
      </c>
      <c r="M263" s="21">
        <v>41816</v>
      </c>
      <c r="N263" s="2">
        <f>K263/M263</f>
        <v>0.39049646068490529</v>
      </c>
    </row>
    <row r="264" spans="1:14">
      <c r="A264" s="65" t="s">
        <v>657</v>
      </c>
      <c r="B264" s="1" t="s">
        <v>48</v>
      </c>
      <c r="C264" s="2">
        <v>0.29799999999999999</v>
      </c>
      <c r="D264" s="2">
        <v>0.14299999999999999</v>
      </c>
      <c r="E264" s="2">
        <v>0.22800000000000001</v>
      </c>
      <c r="F264" s="2">
        <v>0.13400000000000001</v>
      </c>
      <c r="G264" s="2">
        <v>6.8000000000000005E-2</v>
      </c>
      <c r="H264" s="2">
        <v>4.5999999999999999E-2</v>
      </c>
      <c r="I264" s="2">
        <v>0</v>
      </c>
      <c r="J264" s="2">
        <v>8.2000000000000003E-2</v>
      </c>
      <c r="K264" s="13">
        <v>49807</v>
      </c>
      <c r="L264" s="3" t="s">
        <v>21</v>
      </c>
      <c r="M264" s="3">
        <v>166512</v>
      </c>
      <c r="N264" s="2">
        <v>0.29899999999999999</v>
      </c>
    </row>
    <row r="265" spans="1:14">
      <c r="A265" s="65" t="s">
        <v>658</v>
      </c>
      <c r="B265" s="26" t="s">
        <v>139</v>
      </c>
      <c r="C265" s="2">
        <v>0.36499999999999999</v>
      </c>
      <c r="D265" s="2">
        <v>7.1999999999999995E-2</v>
      </c>
      <c r="E265" s="2">
        <v>0.35499999999999998</v>
      </c>
      <c r="F265" s="2">
        <v>6.7000000000000004E-2</v>
      </c>
      <c r="G265" s="2">
        <v>5.8999999999999997E-2</v>
      </c>
      <c r="H265" s="2">
        <v>5.8999999999999997E-2</v>
      </c>
      <c r="I265" s="2">
        <v>0</v>
      </c>
      <c r="J265" s="2">
        <v>2.3E-2</v>
      </c>
      <c r="K265" s="3">
        <v>60071</v>
      </c>
      <c r="L265" s="6" t="s">
        <v>124</v>
      </c>
      <c r="M265" s="27">
        <v>216064</v>
      </c>
      <c r="N265" s="2">
        <f>K265/M265</f>
        <v>0.2780241039691943</v>
      </c>
    </row>
    <row r="266" spans="1:14">
      <c r="A266" s="65" t="s">
        <v>659</v>
      </c>
      <c r="B266" s="1" t="s">
        <v>78</v>
      </c>
      <c r="C266" s="2">
        <v>0.434</v>
      </c>
      <c r="D266" s="2">
        <v>0.13800000000000001</v>
      </c>
      <c r="E266" s="2">
        <v>9.8000000000000004E-2</v>
      </c>
      <c r="F266" s="2">
        <v>0.111</v>
      </c>
      <c r="G266" s="2">
        <v>8.6999999999999994E-2</v>
      </c>
      <c r="H266" s="2">
        <v>4.9000000000000002E-2</v>
      </c>
      <c r="I266" s="2">
        <v>0</v>
      </c>
      <c r="J266" s="2">
        <v>8.3000000000000004E-2</v>
      </c>
      <c r="K266" s="3">
        <v>29101</v>
      </c>
      <c r="L266" s="6" t="s">
        <v>61</v>
      </c>
      <c r="M266" s="21">
        <v>82329</v>
      </c>
      <c r="N266" s="2">
        <f>K266/M266</f>
        <v>0.35347204508739327</v>
      </c>
    </row>
    <row r="267" spans="1:14">
      <c r="A267" s="65" t="s">
        <v>660</v>
      </c>
      <c r="B267" s="55" t="s">
        <v>383</v>
      </c>
      <c r="C267" s="56">
        <v>0.19070359758038841</v>
      </c>
      <c r="D267" s="57">
        <v>0.18222151798447156</v>
      </c>
      <c r="E267" s="57">
        <v>2.7967041673268897E-2</v>
      </c>
      <c r="F267" s="57">
        <v>7.9147520202820468E-2</v>
      </c>
      <c r="G267" s="56">
        <v>0.18887656472825226</v>
      </c>
      <c r="H267" s="56">
        <v>1.7639327024185067E-2</v>
      </c>
      <c r="I267" s="56">
        <v>0.28418634130882586</v>
      </c>
      <c r="J267" s="57">
        <v>3.0053346009612847E-2</v>
      </c>
      <c r="K267" s="58">
        <v>37866</v>
      </c>
      <c r="L267" s="1" t="s">
        <v>357</v>
      </c>
      <c r="M267" s="59">
        <v>88377</v>
      </c>
      <c r="N267" s="60">
        <v>0.43</v>
      </c>
    </row>
    <row r="268" spans="1:14">
      <c r="A268" s="65" t="s">
        <v>661</v>
      </c>
      <c r="B268" s="42" t="s">
        <v>321</v>
      </c>
      <c r="C268" s="43">
        <v>0.45140000000000002</v>
      </c>
      <c r="D268" s="43">
        <v>0.20399999999999999</v>
      </c>
      <c r="E268" s="43">
        <v>5.33E-2</v>
      </c>
      <c r="F268" s="43">
        <v>0.12</v>
      </c>
      <c r="G268" s="43">
        <v>0.10159</v>
      </c>
      <c r="H268" s="43">
        <v>3.9550000000000002E-2</v>
      </c>
      <c r="I268" s="2">
        <v>0</v>
      </c>
      <c r="J268" s="2">
        <v>2.9899999999999999E-2</v>
      </c>
      <c r="K268" s="3">
        <v>31705</v>
      </c>
      <c r="L268" s="1" t="s">
        <v>302</v>
      </c>
      <c r="M268" s="44">
        <v>90173</v>
      </c>
      <c r="N268" s="2">
        <v>0.35349999999999998</v>
      </c>
    </row>
    <row r="269" spans="1:14">
      <c r="A269" s="65" t="s">
        <v>662</v>
      </c>
      <c r="B269" s="1" t="s">
        <v>49</v>
      </c>
      <c r="C269" s="2">
        <v>0.29799999999999999</v>
      </c>
      <c r="D269" s="2">
        <v>0.187</v>
      </c>
      <c r="E269" s="2">
        <v>0.26400000000000001</v>
      </c>
      <c r="F269" s="2">
        <v>0.11600000000000001</v>
      </c>
      <c r="G269" s="2">
        <v>5.3999999999999999E-2</v>
      </c>
      <c r="H269" s="2">
        <v>0.03</v>
      </c>
      <c r="I269" s="2">
        <v>0</v>
      </c>
      <c r="J269" s="2">
        <v>0.05</v>
      </c>
      <c r="K269" s="13">
        <v>66532</v>
      </c>
      <c r="L269" s="3" t="s">
        <v>21</v>
      </c>
      <c r="M269" s="3">
        <v>214431</v>
      </c>
      <c r="N269" s="2">
        <v>0.31</v>
      </c>
    </row>
    <row r="270" spans="1:14">
      <c r="A270" s="65" t="s">
        <v>663</v>
      </c>
      <c r="B270" s="1" t="s">
        <v>79</v>
      </c>
      <c r="C270" s="2">
        <v>0.40300000000000002</v>
      </c>
      <c r="D270" s="2">
        <v>0.158</v>
      </c>
      <c r="E270" s="2">
        <v>8.4000000000000005E-2</v>
      </c>
      <c r="F270" s="2">
        <v>0.10299999999999999</v>
      </c>
      <c r="G270" s="2">
        <v>0.10299999999999999</v>
      </c>
      <c r="H270" s="2">
        <v>4.1000000000000002E-2</v>
      </c>
      <c r="I270" s="2">
        <v>0</v>
      </c>
      <c r="J270" s="2">
        <v>0.108</v>
      </c>
      <c r="K270" s="3">
        <v>24133</v>
      </c>
      <c r="L270" s="6" t="s">
        <v>61</v>
      </c>
      <c r="M270" s="21">
        <v>67011</v>
      </c>
      <c r="N270" s="2">
        <f>K270/M270</f>
        <v>0.36013490322484371</v>
      </c>
    </row>
    <row r="271" spans="1:14">
      <c r="A271" s="65" t="s">
        <v>664</v>
      </c>
      <c r="B271" s="39" t="s">
        <v>278</v>
      </c>
      <c r="C271" s="40">
        <v>0.40329999999999999</v>
      </c>
      <c r="D271" s="40">
        <v>0.2535</v>
      </c>
      <c r="E271" s="40">
        <v>4.07E-2</v>
      </c>
      <c r="F271" s="40">
        <v>0.1109</v>
      </c>
      <c r="G271" s="40">
        <v>0.11975</v>
      </c>
      <c r="H271" s="40">
        <v>1.8599999999999998E-2</v>
      </c>
      <c r="I271" s="11">
        <v>0</v>
      </c>
      <c r="J271" s="2">
        <v>5.2900000000000003E-2</v>
      </c>
      <c r="K271" s="9">
        <v>36032</v>
      </c>
      <c r="L271" s="1" t="s">
        <v>235</v>
      </c>
      <c r="M271" s="9">
        <v>88218</v>
      </c>
      <c r="N271" s="8">
        <v>0.41100000000000003</v>
      </c>
    </row>
    <row r="272" spans="1:14">
      <c r="A272" s="65" t="s">
        <v>665</v>
      </c>
      <c r="B272" s="1" t="s">
        <v>80</v>
      </c>
      <c r="C272" s="2">
        <v>0.28100000000000003</v>
      </c>
      <c r="D272" s="2">
        <v>0.18099999999999999</v>
      </c>
      <c r="E272" s="2">
        <v>0.17</v>
      </c>
      <c r="F272" s="2">
        <v>0.248</v>
      </c>
      <c r="G272" s="2">
        <v>3.4000000000000002E-2</v>
      </c>
      <c r="H272" s="2">
        <v>3.9E-2</v>
      </c>
      <c r="I272" s="2">
        <v>0</v>
      </c>
      <c r="J272" s="2">
        <v>4.7E-2</v>
      </c>
      <c r="K272" s="3">
        <v>140442</v>
      </c>
      <c r="L272" s="6" t="s">
        <v>61</v>
      </c>
      <c r="M272" s="21">
        <v>392895</v>
      </c>
      <c r="N272" s="2">
        <f>K272/M272</f>
        <v>0.357454281678311</v>
      </c>
    </row>
    <row r="273" spans="1:14">
      <c r="A273" s="65" t="s">
        <v>666</v>
      </c>
      <c r="B273" s="55" t="s">
        <v>384</v>
      </c>
      <c r="C273" s="56">
        <v>0.1978577804224933</v>
      </c>
      <c r="D273" s="57">
        <v>0.29644444444444445</v>
      </c>
      <c r="E273" s="57">
        <v>4.5185185185185182E-2</v>
      </c>
      <c r="F273" s="57">
        <v>0.112</v>
      </c>
      <c r="G273" s="56">
        <v>5.0666666666666665E-2</v>
      </c>
      <c r="H273" s="56">
        <v>2.2277958099734436E-2</v>
      </c>
      <c r="I273" s="56">
        <v>0.25940740740740742</v>
      </c>
      <c r="J273" s="57">
        <v>1.6888888888888887E-2</v>
      </c>
      <c r="K273" s="58">
        <v>6750</v>
      </c>
      <c r="L273" s="1" t="s">
        <v>357</v>
      </c>
      <c r="M273" s="59">
        <v>17120</v>
      </c>
      <c r="N273" s="60">
        <v>0.39600000000000002</v>
      </c>
    </row>
    <row r="274" spans="1:14">
      <c r="A274" s="65" t="s">
        <v>667</v>
      </c>
      <c r="B274" s="28" t="s">
        <v>140</v>
      </c>
      <c r="C274" s="2">
        <v>0.39100000000000001</v>
      </c>
      <c r="D274" s="2">
        <v>0.21</v>
      </c>
      <c r="E274" s="2">
        <v>7.1999999999999995E-2</v>
      </c>
      <c r="F274" s="2">
        <v>0.13200000000000001</v>
      </c>
      <c r="G274" s="2">
        <v>0.11600000000000001</v>
      </c>
      <c r="H274" s="2">
        <v>4.2000000000000003E-2</v>
      </c>
      <c r="I274" s="2">
        <v>0</v>
      </c>
      <c r="J274" s="2">
        <v>3.5999999999999997E-2</v>
      </c>
      <c r="K274" s="3">
        <v>92688</v>
      </c>
      <c r="L274" s="6" t="s">
        <v>124</v>
      </c>
      <c r="M274" s="29">
        <v>238854</v>
      </c>
      <c r="N274" s="2">
        <f>K274/M274</f>
        <v>0.38805295284985808</v>
      </c>
    </row>
    <row r="275" spans="1:14">
      <c r="A275" s="65" t="s">
        <v>668</v>
      </c>
      <c r="B275" s="39" t="s">
        <v>279</v>
      </c>
      <c r="C275" s="40">
        <v>0.25159999999999999</v>
      </c>
      <c r="D275" s="40">
        <v>0.14419999999999999</v>
      </c>
      <c r="E275" s="40">
        <v>0.37690000000000001</v>
      </c>
      <c r="F275" s="40">
        <v>6.5049999999999997E-2</v>
      </c>
      <c r="G275" s="40">
        <v>9.0789999999999996E-2</v>
      </c>
      <c r="H275" s="40">
        <v>2.3400000000000001E-2</v>
      </c>
      <c r="I275" s="11">
        <v>0</v>
      </c>
      <c r="J275" s="2">
        <v>4.7800000000000002E-2</v>
      </c>
      <c r="K275" s="9">
        <v>23657</v>
      </c>
      <c r="L275" s="1" t="s">
        <v>235</v>
      </c>
      <c r="M275" s="9">
        <v>87275</v>
      </c>
      <c r="N275" s="8">
        <v>0.27106273000000003</v>
      </c>
    </row>
    <row r="276" spans="1:14">
      <c r="A276" s="65" t="s">
        <v>669</v>
      </c>
      <c r="B276" s="28" t="s">
        <v>141</v>
      </c>
      <c r="C276" s="2">
        <v>0.39400000000000002</v>
      </c>
      <c r="D276" s="2">
        <v>0.21</v>
      </c>
      <c r="E276" s="2">
        <v>6.7000000000000004E-2</v>
      </c>
      <c r="F276" s="2">
        <v>0.125</v>
      </c>
      <c r="G276" s="2">
        <v>0.12</v>
      </c>
      <c r="H276" s="2">
        <v>3.9E-2</v>
      </c>
      <c r="I276" s="2">
        <v>0</v>
      </c>
      <c r="J276" s="2">
        <v>3.5999999999999997E-2</v>
      </c>
      <c r="K276" s="3">
        <v>54287</v>
      </c>
      <c r="L276" s="6" t="s">
        <v>124</v>
      </c>
      <c r="M276" s="29">
        <v>159726</v>
      </c>
      <c r="N276" s="2">
        <f>K276/M276</f>
        <v>0.33987578728572682</v>
      </c>
    </row>
    <row r="277" spans="1:14" ht="24">
      <c r="A277" s="65" t="s">
        <v>670</v>
      </c>
      <c r="B277" s="42" t="s">
        <v>322</v>
      </c>
      <c r="C277" s="43">
        <v>0.40289999999999998</v>
      </c>
      <c r="D277" s="43">
        <v>0.25868999999999998</v>
      </c>
      <c r="E277" s="43">
        <v>3.8300000000000001E-2</v>
      </c>
      <c r="F277" s="43">
        <v>0.1399</v>
      </c>
      <c r="G277" s="43">
        <v>8.9599999999999999E-2</v>
      </c>
      <c r="H277" s="43">
        <v>3.3110000000000001E-2</v>
      </c>
      <c r="I277" s="2">
        <v>0</v>
      </c>
      <c r="J277" s="2">
        <v>3.73E-2</v>
      </c>
      <c r="K277" s="3">
        <v>46711</v>
      </c>
      <c r="L277" s="1" t="s">
        <v>302</v>
      </c>
      <c r="M277" s="44">
        <v>112216</v>
      </c>
      <c r="N277" s="2">
        <v>0.41830000000000001</v>
      </c>
    </row>
    <row r="278" spans="1:14">
      <c r="A278" s="65" t="s">
        <v>671</v>
      </c>
      <c r="B278" s="55" t="s">
        <v>385</v>
      </c>
      <c r="C278" s="56">
        <v>0.17351994401679496</v>
      </c>
      <c r="D278" s="57">
        <v>0.10496806047588496</v>
      </c>
      <c r="E278" s="57">
        <v>7.2777483332868417E-2</v>
      </c>
      <c r="F278" s="57">
        <v>5.7574827749728025E-2</v>
      </c>
      <c r="G278" s="56">
        <v>0.20458032302156268</v>
      </c>
      <c r="H278" s="56">
        <v>1.9097656575765159E-2</v>
      </c>
      <c r="I278" s="56">
        <v>0.34182264498312365</v>
      </c>
      <c r="J278" s="57">
        <v>2.6193199252419874E-2</v>
      </c>
      <c r="K278" s="58">
        <v>35849</v>
      </c>
      <c r="L278" s="1" t="s">
        <v>357</v>
      </c>
      <c r="M278" s="59">
        <v>88261</v>
      </c>
      <c r="N278" s="60">
        <v>0.40799999999999997</v>
      </c>
    </row>
    <row r="279" spans="1:14">
      <c r="A279" s="65" t="s">
        <v>672</v>
      </c>
      <c r="B279" s="39" t="s">
        <v>280</v>
      </c>
      <c r="C279" s="40">
        <v>0.35010999999999998</v>
      </c>
      <c r="D279" s="40">
        <v>0.25559999999999999</v>
      </c>
      <c r="E279" s="40">
        <v>5.74E-2</v>
      </c>
      <c r="F279" s="40">
        <v>0.10349999999999999</v>
      </c>
      <c r="G279" s="40">
        <v>0.1517</v>
      </c>
      <c r="H279" s="40">
        <v>1.78E-2</v>
      </c>
      <c r="I279" s="11">
        <v>0</v>
      </c>
      <c r="J279" s="2">
        <v>6.3700000000000007E-2</v>
      </c>
      <c r="K279" s="9">
        <v>20885</v>
      </c>
      <c r="L279" s="1" t="s">
        <v>235</v>
      </c>
      <c r="M279" s="9">
        <v>52016</v>
      </c>
      <c r="N279" s="8">
        <v>0.40399999999999997</v>
      </c>
    </row>
    <row r="280" spans="1:14">
      <c r="A280" s="65" t="s">
        <v>673</v>
      </c>
      <c r="B280" s="30" t="s">
        <v>189</v>
      </c>
      <c r="C280" s="31">
        <v>0.23909255999999998</v>
      </c>
      <c r="D280" s="31">
        <v>0.38067151000000005</v>
      </c>
      <c r="E280" s="31">
        <v>4.8548090000000002E-2</v>
      </c>
      <c r="F280" s="31">
        <v>0.1515608</v>
      </c>
      <c r="G280" s="31">
        <v>8.5027220000000001E-2</v>
      </c>
      <c r="H280" s="31">
        <v>1.8475499999999999E-2</v>
      </c>
      <c r="I280" s="11">
        <v>0</v>
      </c>
      <c r="J280" s="2">
        <v>7.6600000000000001E-2</v>
      </c>
      <c r="K280" s="3">
        <v>55100</v>
      </c>
      <c r="L280" s="6" t="s">
        <v>155</v>
      </c>
      <c r="M280" s="32">
        <v>114766</v>
      </c>
      <c r="N280" s="33">
        <v>0.48010734999999999</v>
      </c>
    </row>
    <row r="281" spans="1:14">
      <c r="A281" s="65" t="s">
        <v>674</v>
      </c>
      <c r="B281" s="22" t="s">
        <v>118</v>
      </c>
      <c r="C281" s="2">
        <v>0.40500000000000003</v>
      </c>
      <c r="D281" s="2">
        <v>0.161</v>
      </c>
      <c r="E281" s="2">
        <v>0.10199999999999999</v>
      </c>
      <c r="F281" s="2">
        <v>9.4E-2</v>
      </c>
      <c r="G281" s="2">
        <v>0.126</v>
      </c>
      <c r="H281" s="2">
        <v>5.8000000000000003E-2</v>
      </c>
      <c r="I281" s="2">
        <v>0</v>
      </c>
      <c r="J281" s="2">
        <v>5.2999999999999999E-2</v>
      </c>
      <c r="K281" s="3">
        <v>24622</v>
      </c>
      <c r="L281" s="6" t="s">
        <v>83</v>
      </c>
      <c r="M281" s="24">
        <v>78230</v>
      </c>
      <c r="N281" s="2">
        <f>K281/M281</f>
        <v>0.31473859133324811</v>
      </c>
    </row>
    <row r="282" spans="1:14" ht="24">
      <c r="A282" s="65" t="s">
        <v>675</v>
      </c>
      <c r="B282" s="42" t="s">
        <v>323</v>
      </c>
      <c r="C282" s="43">
        <v>0.36809999999999998</v>
      </c>
      <c r="D282" s="43">
        <v>0.24129</v>
      </c>
      <c r="E282" s="43">
        <v>7.22E-2</v>
      </c>
      <c r="F282" s="43">
        <v>0.1474</v>
      </c>
      <c r="G282" s="43">
        <v>0.1009</v>
      </c>
      <c r="H282" s="43">
        <v>3.2809999999999999E-2</v>
      </c>
      <c r="I282" s="2">
        <v>0</v>
      </c>
      <c r="J282" s="2">
        <v>3.6999999999999998E-2</v>
      </c>
      <c r="K282" s="3">
        <v>75612</v>
      </c>
      <c r="L282" s="1" t="s">
        <v>302</v>
      </c>
      <c r="M282" s="44">
        <v>202943</v>
      </c>
      <c r="N282" s="2">
        <v>0.37459999999999999</v>
      </c>
    </row>
    <row r="283" spans="1:14">
      <c r="A283" s="65" t="s">
        <v>676</v>
      </c>
      <c r="B283" s="42" t="s">
        <v>324</v>
      </c>
      <c r="C283" s="43">
        <v>0.35560000000000003</v>
      </c>
      <c r="D283" s="43">
        <v>0.23949999999999999</v>
      </c>
      <c r="E283" s="43">
        <v>3.8399999999999997E-2</v>
      </c>
      <c r="F283" s="43">
        <v>0.2165</v>
      </c>
      <c r="G283" s="43">
        <v>8.8499999999999995E-2</v>
      </c>
      <c r="H283" s="43">
        <v>2.188E-2</v>
      </c>
      <c r="I283" s="2">
        <v>0</v>
      </c>
      <c r="J283" s="2">
        <v>3.9300000000000002E-2</v>
      </c>
      <c r="K283" s="3">
        <v>31709</v>
      </c>
      <c r="L283" s="1" t="s">
        <v>302</v>
      </c>
      <c r="M283" s="44">
        <v>68028</v>
      </c>
      <c r="N283" s="2">
        <v>0.46829999999999999</v>
      </c>
    </row>
    <row r="284" spans="1:14">
      <c r="A284" s="65" t="s">
        <v>677</v>
      </c>
      <c r="B284" s="22" t="s">
        <v>119</v>
      </c>
      <c r="C284" s="2">
        <v>0.55200000000000005</v>
      </c>
      <c r="D284" s="2">
        <v>9.4E-2</v>
      </c>
      <c r="E284" s="2">
        <v>4.2999999999999997E-2</v>
      </c>
      <c r="F284" s="2">
        <v>6.3E-2</v>
      </c>
      <c r="G284" s="2">
        <v>0.13500000000000001</v>
      </c>
      <c r="H284" s="2">
        <v>7.1999999999999995E-2</v>
      </c>
      <c r="I284" s="2">
        <v>0</v>
      </c>
      <c r="J284" s="2">
        <v>4.1000000000000002E-2</v>
      </c>
      <c r="K284" s="3">
        <v>20752</v>
      </c>
      <c r="L284" s="6" t="s">
        <v>83</v>
      </c>
      <c r="M284" s="24">
        <v>65058</v>
      </c>
      <c r="N284" s="2">
        <f>K284/M284</f>
        <v>0.31897691290848168</v>
      </c>
    </row>
    <row r="285" spans="1:14">
      <c r="A285" s="65" t="s">
        <v>678</v>
      </c>
      <c r="B285" s="22" t="s">
        <v>120</v>
      </c>
      <c r="C285" s="2">
        <v>0.42499999999999999</v>
      </c>
      <c r="D285" s="2">
        <v>0.17599999999999999</v>
      </c>
      <c r="E285" s="2">
        <v>6.0999999999999999E-2</v>
      </c>
      <c r="F285" s="2">
        <v>9.8000000000000004E-2</v>
      </c>
      <c r="G285" s="2">
        <v>0.13600000000000001</v>
      </c>
      <c r="H285" s="2">
        <v>4.7E-2</v>
      </c>
      <c r="I285" s="2">
        <v>0</v>
      </c>
      <c r="J285" s="2">
        <v>5.7000000000000002E-2</v>
      </c>
      <c r="K285" s="3">
        <v>38075</v>
      </c>
      <c r="L285" s="6" t="s">
        <v>83</v>
      </c>
      <c r="M285" s="24">
        <v>104788</v>
      </c>
      <c r="N285" s="2">
        <f>K285/M285</f>
        <v>0.36335267397030196</v>
      </c>
    </row>
    <row r="286" spans="1:14">
      <c r="A286" s="65" t="s">
        <v>679</v>
      </c>
      <c r="B286" s="1" t="s">
        <v>50</v>
      </c>
      <c r="C286" s="2">
        <v>0.30199999999999999</v>
      </c>
      <c r="D286" s="2">
        <v>0.35599999999999998</v>
      </c>
      <c r="E286" s="2">
        <v>4.9000000000000002E-2</v>
      </c>
      <c r="F286" s="2">
        <v>0.13700000000000001</v>
      </c>
      <c r="G286" s="2">
        <v>9.8000000000000004E-2</v>
      </c>
      <c r="H286" s="2">
        <v>2.5999999999999999E-2</v>
      </c>
      <c r="I286" s="2">
        <v>0</v>
      </c>
      <c r="J286" s="2">
        <v>3.3000000000000002E-2</v>
      </c>
      <c r="K286" s="13">
        <v>36226</v>
      </c>
      <c r="L286" s="3" t="s">
        <v>21</v>
      </c>
      <c r="M286" s="3">
        <v>80912</v>
      </c>
      <c r="N286" s="2">
        <v>0.44800000000000001</v>
      </c>
    </row>
    <row r="287" spans="1:14">
      <c r="A287" s="65" t="s">
        <v>680</v>
      </c>
      <c r="B287" s="55" t="s">
        <v>386</v>
      </c>
      <c r="C287" s="56">
        <v>0.15017116774438949</v>
      </c>
      <c r="D287" s="57">
        <v>0.10564921556730519</v>
      </c>
      <c r="E287" s="57">
        <v>0.12506500823437636</v>
      </c>
      <c r="F287" s="57">
        <v>6.3003813816416745E-2</v>
      </c>
      <c r="G287" s="56">
        <v>0.10659183496576233</v>
      </c>
      <c r="H287" s="56">
        <v>1.8233470516434969E-2</v>
      </c>
      <c r="I287" s="56">
        <v>0.406864869550143</v>
      </c>
      <c r="J287" s="57">
        <v>2.4822310826037964E-2</v>
      </c>
      <c r="K287" s="58">
        <v>92296</v>
      </c>
      <c r="L287" s="1" t="s">
        <v>357</v>
      </c>
      <c r="M287" s="59">
        <v>245934</v>
      </c>
      <c r="N287" s="60">
        <v>0.376</v>
      </c>
    </row>
    <row r="288" spans="1:14" s="4" customFormat="1">
      <c r="A288" s="65" t="s">
        <v>681</v>
      </c>
      <c r="B288" s="30" t="s">
        <v>190</v>
      </c>
      <c r="C288" s="31">
        <v>0.35327860999999999</v>
      </c>
      <c r="D288" s="31">
        <v>0.23476906</v>
      </c>
      <c r="E288" s="31">
        <v>5.6992380000000002E-2</v>
      </c>
      <c r="F288" s="31">
        <v>0.16187815</v>
      </c>
      <c r="G288" s="31">
        <v>0.11803976000000001</v>
      </c>
      <c r="H288" s="31">
        <v>3.1030559999999999E-2</v>
      </c>
      <c r="I288" s="11">
        <v>0</v>
      </c>
      <c r="J288" s="2">
        <v>4.3999999999999997E-2</v>
      </c>
      <c r="K288" s="3">
        <v>40444</v>
      </c>
      <c r="L288" s="6" t="s">
        <v>155</v>
      </c>
      <c r="M288" s="32">
        <v>105502</v>
      </c>
      <c r="N288" s="33">
        <v>0.38334817999999998</v>
      </c>
    </row>
    <row r="289" spans="1:14">
      <c r="A289" s="65" t="s">
        <v>682</v>
      </c>
      <c r="B289" s="22" t="s">
        <v>121</v>
      </c>
      <c r="C289" s="2">
        <v>0.36299999999999999</v>
      </c>
      <c r="D289" s="2">
        <v>0.224</v>
      </c>
      <c r="E289" s="2">
        <v>5.0999999999999997E-2</v>
      </c>
      <c r="F289" s="2">
        <v>0.13</v>
      </c>
      <c r="G289" s="2">
        <v>0.14499999999999999</v>
      </c>
      <c r="H289" s="2">
        <v>3.3000000000000002E-2</v>
      </c>
      <c r="I289" s="2">
        <v>0</v>
      </c>
      <c r="J289" s="2">
        <v>5.3999999999999999E-2</v>
      </c>
      <c r="K289" s="3">
        <v>29468</v>
      </c>
      <c r="L289" s="6" t="s">
        <v>83</v>
      </c>
      <c r="M289" s="24">
        <v>69502</v>
      </c>
      <c r="N289" s="2">
        <f>K289/M289</f>
        <v>0.42398779891226152</v>
      </c>
    </row>
    <row r="290" spans="1:14">
      <c r="A290" s="65" t="s">
        <v>683</v>
      </c>
      <c r="B290" s="39" t="s">
        <v>281</v>
      </c>
      <c r="C290" s="40">
        <v>0.29299999999999998</v>
      </c>
      <c r="D290" s="40">
        <v>0.3382</v>
      </c>
      <c r="E290" s="40">
        <v>4.0300000000000002E-2</v>
      </c>
      <c r="F290" s="40">
        <v>0.15115000000000001</v>
      </c>
      <c r="G290" s="40">
        <v>0.10301100000000001</v>
      </c>
      <c r="H290" s="40">
        <v>1.694E-2</v>
      </c>
      <c r="I290" s="11">
        <v>0</v>
      </c>
      <c r="J290" s="2">
        <v>5.7200000000000001E-2</v>
      </c>
      <c r="K290" s="9">
        <v>45034</v>
      </c>
      <c r="L290" s="1" t="s">
        <v>235</v>
      </c>
      <c r="M290" s="9">
        <v>104528</v>
      </c>
      <c r="N290" s="8">
        <v>0.43340000000000001</v>
      </c>
    </row>
    <row r="291" spans="1:14">
      <c r="A291" s="65" t="s">
        <v>684</v>
      </c>
      <c r="B291" s="17" t="s">
        <v>51</v>
      </c>
      <c r="C291" s="16">
        <v>0.39800000000000002</v>
      </c>
      <c r="D291" s="16">
        <v>0.16600000000000001</v>
      </c>
      <c r="E291" s="16">
        <v>0.13600000000000001</v>
      </c>
      <c r="F291" s="16">
        <v>9.9000000000000005E-2</v>
      </c>
      <c r="G291" s="16">
        <v>0.105</v>
      </c>
      <c r="H291" s="16">
        <v>3.9E-2</v>
      </c>
      <c r="I291" s="2">
        <v>0</v>
      </c>
      <c r="J291" s="2">
        <v>5.8000000000000003E-2</v>
      </c>
      <c r="K291" s="13">
        <v>29584</v>
      </c>
      <c r="L291" s="3" t="s">
        <v>21</v>
      </c>
      <c r="M291" s="14">
        <v>83582</v>
      </c>
      <c r="N291" s="15">
        <v>0.35399999999999998</v>
      </c>
    </row>
    <row r="292" spans="1:14">
      <c r="A292" s="65" t="s">
        <v>685</v>
      </c>
      <c r="B292" s="42" t="s">
        <v>325</v>
      </c>
      <c r="C292" s="43">
        <v>0.42559999999999998</v>
      </c>
      <c r="D292" s="43">
        <v>0.25496000000000002</v>
      </c>
      <c r="E292" s="43">
        <v>3.15E-2</v>
      </c>
      <c r="F292" s="43">
        <v>0.13008</v>
      </c>
      <c r="G292" s="43">
        <v>9.0819999999999998E-2</v>
      </c>
      <c r="H292" s="43">
        <v>3.4110000000000001E-2</v>
      </c>
      <c r="I292" s="2">
        <v>0</v>
      </c>
      <c r="J292" s="2">
        <v>3.2800000000000003E-2</v>
      </c>
      <c r="K292" s="3">
        <v>51011</v>
      </c>
      <c r="L292" s="1" t="s">
        <v>302</v>
      </c>
      <c r="M292" s="44">
        <v>125803</v>
      </c>
      <c r="N292" s="48">
        <v>0.40820000000000001</v>
      </c>
    </row>
    <row r="293" spans="1:14">
      <c r="A293" s="65" t="s">
        <v>686</v>
      </c>
      <c r="B293" s="26" t="s">
        <v>142</v>
      </c>
      <c r="C293" s="2">
        <v>0.501</v>
      </c>
      <c r="D293" s="2">
        <v>0.128</v>
      </c>
      <c r="E293" s="2">
        <v>5.8000000000000003E-2</v>
      </c>
      <c r="F293" s="2">
        <v>8.5999999999999993E-2</v>
      </c>
      <c r="G293" s="2">
        <v>0.13300000000000001</v>
      </c>
      <c r="H293" s="2">
        <v>5.5E-2</v>
      </c>
      <c r="I293" s="2">
        <v>0</v>
      </c>
      <c r="J293" s="2">
        <v>3.7999999999999999E-2</v>
      </c>
      <c r="K293" s="3">
        <v>28052</v>
      </c>
      <c r="L293" s="6" t="s">
        <v>124</v>
      </c>
      <c r="M293" s="27">
        <v>84975</v>
      </c>
      <c r="N293" s="2">
        <f>K293/M293</f>
        <v>0.33012062371285672</v>
      </c>
    </row>
    <row r="294" spans="1:14">
      <c r="A294" s="65" t="s">
        <v>687</v>
      </c>
      <c r="B294" s="5" t="s">
        <v>18</v>
      </c>
      <c r="C294" s="2">
        <v>0.40899999999999997</v>
      </c>
      <c r="D294" s="2">
        <v>0.10299999999999999</v>
      </c>
      <c r="E294" s="2">
        <v>0.224</v>
      </c>
      <c r="F294" s="2">
        <v>0.107</v>
      </c>
      <c r="G294" s="2">
        <v>5.0999999999999997E-2</v>
      </c>
      <c r="H294" s="2">
        <v>6.6000000000000003E-2</v>
      </c>
      <c r="I294" s="2">
        <v>0</v>
      </c>
      <c r="J294" s="2">
        <v>0.04</v>
      </c>
      <c r="K294" s="3">
        <v>36360</v>
      </c>
      <c r="L294" s="6" t="s">
        <v>8</v>
      </c>
      <c r="M294" s="3">
        <v>114390</v>
      </c>
      <c r="N294" s="2">
        <v>0.318</v>
      </c>
    </row>
    <row r="295" spans="1:14">
      <c r="A295" s="65" t="s">
        <v>688</v>
      </c>
      <c r="B295" s="39" t="s">
        <v>282</v>
      </c>
      <c r="C295" s="40">
        <v>0.32839000000000002</v>
      </c>
      <c r="D295" s="40">
        <v>0.22233</v>
      </c>
      <c r="E295" s="40">
        <v>0.1522</v>
      </c>
      <c r="F295" s="40">
        <v>0.1447</v>
      </c>
      <c r="G295" s="40">
        <v>7.9399999999999998E-2</v>
      </c>
      <c r="H295" s="40">
        <v>2.7199999999999998E-2</v>
      </c>
      <c r="I295" s="11">
        <v>0</v>
      </c>
      <c r="J295" s="2">
        <v>4.5400000000000003E-2</v>
      </c>
      <c r="K295" s="9">
        <v>53847</v>
      </c>
      <c r="L295" s="1" t="s">
        <v>235</v>
      </c>
      <c r="M295" s="9">
        <v>157137</v>
      </c>
      <c r="N295" s="8">
        <v>0.34399999999999997</v>
      </c>
    </row>
    <row r="296" spans="1:14">
      <c r="A296" s="65" t="s">
        <v>689</v>
      </c>
      <c r="B296" s="30" t="s">
        <v>191</v>
      </c>
      <c r="C296" s="31">
        <v>0.42060085999999997</v>
      </c>
      <c r="D296" s="31">
        <v>0.18858461999999998</v>
      </c>
      <c r="E296" s="31">
        <v>9.9248930000000013E-2</v>
      </c>
      <c r="F296" s="31">
        <v>0.12161784</v>
      </c>
      <c r="G296" s="31">
        <v>8.9778880000000005E-2</v>
      </c>
      <c r="H296" s="31">
        <v>3.6900540000000003E-2</v>
      </c>
      <c r="I296" s="11">
        <v>0</v>
      </c>
      <c r="J296" s="2">
        <v>4.3200000000000002E-2</v>
      </c>
      <c r="K296" s="3">
        <v>42872</v>
      </c>
      <c r="L296" s="6" t="s">
        <v>155</v>
      </c>
      <c r="M296" s="32">
        <v>129542</v>
      </c>
      <c r="N296" s="33">
        <v>0.33095057999999999</v>
      </c>
    </row>
    <row r="297" spans="1:14">
      <c r="A297" s="65" t="s">
        <v>690</v>
      </c>
      <c r="B297" s="37" t="s">
        <v>229</v>
      </c>
      <c r="C297" s="34">
        <v>0.10884223</v>
      </c>
      <c r="D297" s="34">
        <v>0.32547091</v>
      </c>
      <c r="E297" s="34">
        <v>0.24677863999999999</v>
      </c>
      <c r="F297" s="34">
        <v>0.18339531999999997</v>
      </c>
      <c r="G297" s="34">
        <v>3.422915E-2</v>
      </c>
      <c r="H297" s="34">
        <v>1.389322E-2</v>
      </c>
      <c r="I297" s="35">
        <v>0</v>
      </c>
      <c r="J297" s="8">
        <v>8.7300000000000003E-2</v>
      </c>
      <c r="K297" s="9">
        <v>83350</v>
      </c>
      <c r="L297" s="1" t="s">
        <v>201</v>
      </c>
      <c r="M297" s="32">
        <v>199894</v>
      </c>
      <c r="N297" s="33">
        <v>0.41697099000000004</v>
      </c>
    </row>
    <row r="298" spans="1:14">
      <c r="A298" s="65" t="s">
        <v>691</v>
      </c>
      <c r="B298" s="39" t="s">
        <v>283</v>
      </c>
      <c r="C298" s="40">
        <v>0.40400000000000003</v>
      </c>
      <c r="D298" s="40">
        <v>0.22008</v>
      </c>
      <c r="E298" s="40">
        <v>8.5099999999999995E-2</v>
      </c>
      <c r="F298" s="40">
        <v>0.1057</v>
      </c>
      <c r="G298" s="40">
        <v>0.10637000000000001</v>
      </c>
      <c r="H298" s="40">
        <v>3.1600000000000003E-2</v>
      </c>
      <c r="I298" s="11">
        <v>0</v>
      </c>
      <c r="J298" s="2">
        <v>4.6800000000000001E-2</v>
      </c>
      <c r="K298" s="9">
        <v>26867</v>
      </c>
      <c r="L298" s="1" t="s">
        <v>235</v>
      </c>
      <c r="M298" s="9">
        <v>71474</v>
      </c>
      <c r="N298" s="8">
        <v>0.37799999999999995</v>
      </c>
    </row>
    <row r="299" spans="1:14">
      <c r="A299" s="65" t="s">
        <v>692</v>
      </c>
      <c r="B299" s="30" t="s">
        <v>192</v>
      </c>
      <c r="C299" s="31">
        <v>0.21455488</v>
      </c>
      <c r="D299" s="31">
        <v>0.45042344000000001</v>
      </c>
      <c r="E299" s="31">
        <v>5.5755909999999999E-2</v>
      </c>
      <c r="F299" s="31">
        <v>0.12176344</v>
      </c>
      <c r="G299" s="31">
        <v>9.2852219999999985E-2</v>
      </c>
      <c r="H299" s="31">
        <v>1.4526520000000001E-2</v>
      </c>
      <c r="I299" s="11">
        <v>0</v>
      </c>
      <c r="J299" s="2">
        <v>5.0099999999999999E-2</v>
      </c>
      <c r="K299" s="3">
        <v>49358</v>
      </c>
      <c r="L299" s="6" t="s">
        <v>155</v>
      </c>
      <c r="M299" s="32">
        <v>105473</v>
      </c>
      <c r="N299" s="33">
        <v>0.46796810999999999</v>
      </c>
    </row>
    <row r="300" spans="1:14">
      <c r="A300" s="65" t="s">
        <v>693</v>
      </c>
      <c r="B300" s="1" t="s">
        <v>52</v>
      </c>
      <c r="C300" s="2">
        <v>0.35299999999999998</v>
      </c>
      <c r="D300" s="2">
        <v>0.129</v>
      </c>
      <c r="E300" s="2">
        <v>0.217</v>
      </c>
      <c r="F300" s="2">
        <v>0.14199999999999999</v>
      </c>
      <c r="G300" s="2">
        <v>4.5999999999999999E-2</v>
      </c>
      <c r="H300" s="2">
        <v>0.04</v>
      </c>
      <c r="I300" s="2">
        <v>0</v>
      </c>
      <c r="J300" s="2">
        <v>7.2999999999999995E-2</v>
      </c>
      <c r="K300" s="13">
        <v>38963</v>
      </c>
      <c r="L300" s="3" t="s">
        <v>21</v>
      </c>
      <c r="M300" s="3">
        <v>136977</v>
      </c>
      <c r="N300" s="2">
        <v>0.28399999999999997</v>
      </c>
    </row>
    <row r="301" spans="1:14">
      <c r="A301" s="65" t="s">
        <v>694</v>
      </c>
      <c r="B301" s="26" t="s">
        <v>143</v>
      </c>
      <c r="C301" s="2">
        <v>0.40100000000000002</v>
      </c>
      <c r="D301" s="2">
        <v>0.18</v>
      </c>
      <c r="E301" s="2">
        <v>9.1999999999999998E-2</v>
      </c>
      <c r="F301" s="2">
        <v>0.115</v>
      </c>
      <c r="G301" s="2">
        <v>0.114</v>
      </c>
      <c r="H301" s="2">
        <v>5.1999999999999998E-2</v>
      </c>
      <c r="I301" s="2">
        <v>0</v>
      </c>
      <c r="J301" s="2">
        <v>4.7E-2</v>
      </c>
      <c r="K301" s="3">
        <v>35757</v>
      </c>
      <c r="L301" s="6" t="s">
        <v>124</v>
      </c>
      <c r="M301" s="27">
        <v>101259</v>
      </c>
      <c r="N301" s="2">
        <f>K301/M301</f>
        <v>0.35312416674073416</v>
      </c>
    </row>
    <row r="302" spans="1:14">
      <c r="A302" s="65" t="s">
        <v>695</v>
      </c>
      <c r="B302" s="26" t="s">
        <v>144</v>
      </c>
      <c r="C302" s="2">
        <v>0.47299999999999998</v>
      </c>
      <c r="D302" s="2">
        <v>0.14499999999999999</v>
      </c>
      <c r="E302" s="2">
        <v>8.4000000000000005E-2</v>
      </c>
      <c r="F302" s="2">
        <v>6.7000000000000004E-2</v>
      </c>
      <c r="G302" s="2">
        <v>0.109</v>
      </c>
      <c r="H302" s="2">
        <v>5.3999999999999999E-2</v>
      </c>
      <c r="I302" s="2">
        <v>0</v>
      </c>
      <c r="J302" s="2">
        <v>3.7999999999999999E-2</v>
      </c>
      <c r="K302" s="3">
        <v>25440</v>
      </c>
      <c r="L302" s="6" t="s">
        <v>124</v>
      </c>
      <c r="M302" s="27">
        <v>78615</v>
      </c>
      <c r="N302" s="2">
        <f>K302/M302</f>
        <v>0.32360236596069453</v>
      </c>
    </row>
    <row r="303" spans="1:14">
      <c r="A303" s="65" t="s">
        <v>696</v>
      </c>
      <c r="B303" s="30" t="s">
        <v>193</v>
      </c>
      <c r="C303" s="31">
        <v>0.35802581000000006</v>
      </c>
      <c r="D303" s="31">
        <v>0.17156906999999999</v>
      </c>
      <c r="E303" s="31">
        <v>0.17549399999999998</v>
      </c>
      <c r="F303" s="31">
        <v>0.10507083</v>
      </c>
      <c r="G303" s="31">
        <v>0.10786791</v>
      </c>
      <c r="H303" s="31">
        <v>3.4602540000000001E-2</v>
      </c>
      <c r="I303" s="11">
        <v>0</v>
      </c>
      <c r="J303" s="2">
        <v>4.7320000000000001E-2</v>
      </c>
      <c r="K303" s="9">
        <v>21866</v>
      </c>
      <c r="L303" s="6" t="s">
        <v>155</v>
      </c>
      <c r="M303" s="32">
        <v>62160</v>
      </c>
      <c r="N303" s="33">
        <v>0.35659587999999998</v>
      </c>
    </row>
    <row r="304" spans="1:14">
      <c r="A304" s="65" t="s">
        <v>697</v>
      </c>
      <c r="B304" s="55" t="s">
        <v>387</v>
      </c>
      <c r="C304" s="56">
        <v>0.12322058247355361</v>
      </c>
      <c r="D304" s="57">
        <v>0.15107656280491771</v>
      </c>
      <c r="E304" s="57">
        <v>6.228452481623626E-2</v>
      </c>
      <c r="F304" s="57">
        <v>9.5524621088922138E-2</v>
      </c>
      <c r="G304" s="56">
        <v>0.15101151369283811</v>
      </c>
      <c r="H304" s="56">
        <v>1.2992483151892172E-2</v>
      </c>
      <c r="I304" s="56">
        <v>0.38313927014896249</v>
      </c>
      <c r="J304" s="57">
        <v>2.1173485981916346E-2</v>
      </c>
      <c r="K304" s="58">
        <v>30746</v>
      </c>
      <c r="L304" s="1" t="s">
        <v>357</v>
      </c>
      <c r="M304" s="59">
        <v>66152</v>
      </c>
      <c r="N304" s="60">
        <v>0.46700000000000003</v>
      </c>
    </row>
    <row r="305" spans="1:14">
      <c r="A305" s="65" t="s">
        <v>698</v>
      </c>
      <c r="B305" s="1" t="s">
        <v>53</v>
      </c>
      <c r="C305" s="2">
        <v>0.28299999999999997</v>
      </c>
      <c r="D305" s="2">
        <v>0.29099999999999998</v>
      </c>
      <c r="E305" s="2">
        <v>0.13500000000000001</v>
      </c>
      <c r="F305" s="2">
        <v>0.13500000000000001</v>
      </c>
      <c r="G305" s="2">
        <v>6.9000000000000006E-2</v>
      </c>
      <c r="H305" s="2">
        <v>0.03</v>
      </c>
      <c r="I305" s="2">
        <v>0</v>
      </c>
      <c r="J305" s="2">
        <v>5.7000000000000002E-2</v>
      </c>
      <c r="K305" s="13">
        <v>79367</v>
      </c>
      <c r="L305" s="3" t="s">
        <v>21</v>
      </c>
      <c r="M305" s="3">
        <v>218819</v>
      </c>
      <c r="N305" s="2">
        <v>0.36299999999999999</v>
      </c>
    </row>
    <row r="306" spans="1:14">
      <c r="A306" s="65" t="s">
        <v>699</v>
      </c>
      <c r="B306" s="5" t="s">
        <v>19</v>
      </c>
      <c r="C306" s="2">
        <v>0.433</v>
      </c>
      <c r="D306" s="2">
        <v>0.14099999999999999</v>
      </c>
      <c r="E306" s="2">
        <v>0.16800000000000001</v>
      </c>
      <c r="F306" s="2">
        <v>6.4000000000000001E-2</v>
      </c>
      <c r="G306" s="2">
        <v>9.1999999999999998E-2</v>
      </c>
      <c r="H306" s="2">
        <v>6.0999999999999999E-2</v>
      </c>
      <c r="I306" s="2">
        <v>0</v>
      </c>
      <c r="J306" s="2">
        <v>0.04</v>
      </c>
      <c r="K306" s="3">
        <v>44543</v>
      </c>
      <c r="L306" s="6" t="s">
        <v>8</v>
      </c>
      <c r="M306" s="3">
        <v>140814</v>
      </c>
      <c r="N306" s="2">
        <v>0.316</v>
      </c>
    </row>
    <row r="307" spans="1:14">
      <c r="A307" s="65" t="s">
        <v>700</v>
      </c>
      <c r="B307" s="28" t="s">
        <v>145</v>
      </c>
      <c r="C307" s="2">
        <v>0.45500000000000002</v>
      </c>
      <c r="D307" s="2">
        <v>9.1999999999999998E-2</v>
      </c>
      <c r="E307" s="2">
        <v>0.20200000000000001</v>
      </c>
      <c r="F307" s="2">
        <v>6.8000000000000005E-2</v>
      </c>
      <c r="G307" s="2">
        <v>7.6999999999999999E-2</v>
      </c>
      <c r="H307" s="2">
        <v>7.1999999999999995E-2</v>
      </c>
      <c r="I307" s="2">
        <v>0</v>
      </c>
      <c r="J307" s="2">
        <v>3.5999999999999997E-2</v>
      </c>
      <c r="K307" s="3">
        <v>44917</v>
      </c>
      <c r="L307" s="6" t="s">
        <v>124</v>
      </c>
      <c r="M307" s="29">
        <v>170305</v>
      </c>
      <c r="N307" s="2">
        <f>K307/M307</f>
        <v>0.26374445847156575</v>
      </c>
    </row>
    <row r="308" spans="1:14">
      <c r="A308" s="65" t="s">
        <v>701</v>
      </c>
      <c r="B308" s="26" t="s">
        <v>146</v>
      </c>
      <c r="C308" s="2">
        <v>0.35099999999999998</v>
      </c>
      <c r="D308" s="2">
        <v>0.27</v>
      </c>
      <c r="E308" s="2">
        <v>3.9E-2</v>
      </c>
      <c r="F308" s="2">
        <v>0.123</v>
      </c>
      <c r="G308" s="2">
        <v>0.13700000000000001</v>
      </c>
      <c r="H308" s="2">
        <v>3.6999999999999998E-2</v>
      </c>
      <c r="I308" s="2">
        <v>0</v>
      </c>
      <c r="J308" s="2">
        <v>4.2999999999999997E-2</v>
      </c>
      <c r="K308" s="3">
        <v>41969</v>
      </c>
      <c r="L308" s="6" t="s">
        <v>124</v>
      </c>
      <c r="M308" s="27">
        <v>99414</v>
      </c>
      <c r="N308" s="2">
        <f>K308/M308</f>
        <v>0.42216388033878527</v>
      </c>
    </row>
    <row r="309" spans="1:14">
      <c r="A309" s="65" t="s">
        <v>702</v>
      </c>
      <c r="B309" s="42" t="s">
        <v>326</v>
      </c>
      <c r="C309" s="43">
        <v>0.29149999999999998</v>
      </c>
      <c r="D309" s="43">
        <v>0.21299999999999999</v>
      </c>
      <c r="E309" s="43">
        <v>6.6699999999999995E-2</v>
      </c>
      <c r="F309" s="43">
        <v>0.28310000000000002</v>
      </c>
      <c r="G309" s="43">
        <v>8.72E-2</v>
      </c>
      <c r="H309" s="43">
        <v>2.3390000000000001E-2</v>
      </c>
      <c r="I309" s="2">
        <v>0</v>
      </c>
      <c r="J309" s="2">
        <v>3.4880000000000001E-2</v>
      </c>
      <c r="K309" s="3">
        <v>42881</v>
      </c>
      <c r="L309" s="1" t="s">
        <v>302</v>
      </c>
      <c r="M309" s="44">
        <v>93076</v>
      </c>
      <c r="N309" s="48">
        <v>0.46329999999999999</v>
      </c>
    </row>
    <row r="310" spans="1:14">
      <c r="A310" s="65" t="s">
        <v>703</v>
      </c>
      <c r="B310" s="5" t="s">
        <v>20</v>
      </c>
      <c r="C310" s="2">
        <v>0.39800000000000002</v>
      </c>
      <c r="D310" s="2">
        <v>0.11700000000000001</v>
      </c>
      <c r="E310" s="2">
        <v>0.20899999999999999</v>
      </c>
      <c r="F310" s="2">
        <v>8.1000000000000003E-2</v>
      </c>
      <c r="G310" s="2">
        <v>6.8000000000000005E-2</v>
      </c>
      <c r="H310" s="2">
        <v>9.0999999999999998E-2</v>
      </c>
      <c r="I310" s="2">
        <v>0</v>
      </c>
      <c r="J310" s="2">
        <v>3.6999999999999998E-2</v>
      </c>
      <c r="K310" s="3">
        <v>65160</v>
      </c>
      <c r="L310" s="6" t="s">
        <v>8</v>
      </c>
      <c r="M310" s="3">
        <v>206413</v>
      </c>
      <c r="N310" s="2">
        <v>0.316</v>
      </c>
    </row>
    <row r="311" spans="1:14">
      <c r="A311" s="65" t="s">
        <v>704</v>
      </c>
      <c r="B311" s="39" t="s">
        <v>284</v>
      </c>
      <c r="C311" s="40">
        <v>0.38311000000000001</v>
      </c>
      <c r="D311" s="40">
        <v>0.26400000000000001</v>
      </c>
      <c r="E311" s="40">
        <v>4.4699999999999997E-2</v>
      </c>
      <c r="F311" s="40">
        <v>0.1111</v>
      </c>
      <c r="G311" s="40">
        <v>0.12809999999999999</v>
      </c>
      <c r="H311" s="40">
        <v>1.9E-2</v>
      </c>
      <c r="I311" s="11">
        <v>0</v>
      </c>
      <c r="J311" s="2">
        <v>4.9599999999999998E-2</v>
      </c>
      <c r="K311" s="9">
        <v>24776</v>
      </c>
      <c r="L311" s="1" t="s">
        <v>235</v>
      </c>
      <c r="M311" s="9">
        <v>65408</v>
      </c>
      <c r="N311" s="8">
        <v>0.38100000000000001</v>
      </c>
    </row>
    <row r="312" spans="1:14">
      <c r="A312" s="65" t="s">
        <v>705</v>
      </c>
      <c r="B312" s="37" t="s">
        <v>230</v>
      </c>
      <c r="C312" s="34">
        <v>0.30393017999999999</v>
      </c>
      <c r="D312" s="34">
        <v>0.32849817000000003</v>
      </c>
      <c r="E312" s="34">
        <v>9.7692470000000003E-2</v>
      </c>
      <c r="F312" s="34">
        <v>8.188746999999999E-2</v>
      </c>
      <c r="G312" s="34">
        <v>8.5399689999999986E-2</v>
      </c>
      <c r="H312" s="34">
        <v>3.2400249999999998E-2</v>
      </c>
      <c r="I312" s="35">
        <v>0</v>
      </c>
      <c r="J312" s="8">
        <v>7.0190000000000002E-2</v>
      </c>
      <c r="K312" s="9">
        <v>56944</v>
      </c>
      <c r="L312" s="1" t="s">
        <v>201</v>
      </c>
      <c r="M312" s="32">
        <v>145815</v>
      </c>
      <c r="N312" s="33">
        <v>0.39052224000000002</v>
      </c>
    </row>
    <row r="313" spans="1:14">
      <c r="A313" s="65" t="s">
        <v>706</v>
      </c>
      <c r="B313" s="39" t="s">
        <v>285</v>
      </c>
      <c r="C313" s="40">
        <v>0.49575000000000002</v>
      </c>
      <c r="D313" s="40">
        <v>0.16789999999999999</v>
      </c>
      <c r="E313" s="40">
        <v>6.9500000000000006E-2</v>
      </c>
      <c r="F313" s="40">
        <v>0.10680000000000001</v>
      </c>
      <c r="G313" s="40">
        <v>8.1600000000000006E-2</v>
      </c>
      <c r="H313" s="40">
        <v>3.5900000000000001E-2</v>
      </c>
      <c r="I313" s="11">
        <v>0</v>
      </c>
      <c r="J313" s="2">
        <v>4.2000000000000003E-2</v>
      </c>
      <c r="K313" s="9">
        <v>35201</v>
      </c>
      <c r="L313" s="1" t="s">
        <v>235</v>
      </c>
      <c r="M313" s="9">
        <v>104356</v>
      </c>
      <c r="N313" s="8">
        <v>0.33899999999999997</v>
      </c>
    </row>
    <row r="314" spans="1:14">
      <c r="A314" s="65" t="s">
        <v>707</v>
      </c>
      <c r="B314" s="5" t="s">
        <v>352</v>
      </c>
      <c r="C314" s="2">
        <v>0.3165</v>
      </c>
      <c r="D314" s="2">
        <v>0.15959999999999999</v>
      </c>
      <c r="E314" s="2">
        <v>0.18465000000000001</v>
      </c>
      <c r="F314" s="2">
        <v>6.7000000000000004E-2</v>
      </c>
      <c r="G314" s="2">
        <v>6.1600000000000002E-2</v>
      </c>
      <c r="H314" s="2">
        <v>3.107E-2</v>
      </c>
      <c r="I314" s="53">
        <v>0.14949999999999999</v>
      </c>
      <c r="J314" s="2">
        <v>0.03</v>
      </c>
      <c r="K314" s="54">
        <v>62078</v>
      </c>
      <c r="L314" s="5" t="s">
        <v>334</v>
      </c>
      <c r="M314" s="32">
        <v>173438</v>
      </c>
      <c r="N314" s="2">
        <v>0.35792617999999998</v>
      </c>
    </row>
    <row r="315" spans="1:14">
      <c r="A315" s="65" t="s">
        <v>708</v>
      </c>
      <c r="B315" s="42" t="s">
        <v>327</v>
      </c>
      <c r="C315" s="43">
        <v>0.35709999999999997</v>
      </c>
      <c r="D315" s="43">
        <v>0.17760000000000001</v>
      </c>
      <c r="E315" s="43">
        <v>0.14630000000000001</v>
      </c>
      <c r="F315" s="43">
        <v>0.12809999999999999</v>
      </c>
      <c r="G315" s="43">
        <v>0.1036</v>
      </c>
      <c r="H315" s="43">
        <v>3.9399999999999998E-2</v>
      </c>
      <c r="I315" s="2">
        <v>0</v>
      </c>
      <c r="J315" s="2">
        <v>4.7600000000000003E-2</v>
      </c>
      <c r="K315" s="3">
        <v>53551</v>
      </c>
      <c r="L315" s="1" t="s">
        <v>302</v>
      </c>
      <c r="M315" s="44">
        <v>150984</v>
      </c>
      <c r="N315" s="48">
        <v>0.35699999999999998</v>
      </c>
    </row>
    <row r="316" spans="1:14">
      <c r="A316" s="65" t="s">
        <v>709</v>
      </c>
      <c r="B316" s="1" t="s">
        <v>54</v>
      </c>
      <c r="C316" s="2">
        <v>0.35699999999999998</v>
      </c>
      <c r="D316" s="2">
        <v>0.10199999999999999</v>
      </c>
      <c r="E316" s="2">
        <v>0.23499999999999999</v>
      </c>
      <c r="F316" s="2">
        <v>0.123</v>
      </c>
      <c r="G316" s="2">
        <v>5.8999999999999997E-2</v>
      </c>
      <c r="H316" s="2">
        <v>5.0999999999999997E-2</v>
      </c>
      <c r="I316" s="2">
        <v>0</v>
      </c>
      <c r="J316" s="2">
        <v>7.1999999999999995E-2</v>
      </c>
      <c r="K316" s="13">
        <v>48018</v>
      </c>
      <c r="L316" s="3" t="s">
        <v>21</v>
      </c>
      <c r="M316" s="3">
        <v>169985</v>
      </c>
      <c r="N316" s="2">
        <v>0.28199999999999997</v>
      </c>
    </row>
    <row r="317" spans="1:14">
      <c r="A317" s="65" t="s">
        <v>710</v>
      </c>
      <c r="B317" s="28" t="s">
        <v>147</v>
      </c>
      <c r="C317" s="2">
        <v>0.47199999999999998</v>
      </c>
      <c r="D317" s="2">
        <v>0.11700000000000001</v>
      </c>
      <c r="E317" s="2">
        <v>0.107</v>
      </c>
      <c r="F317" s="2">
        <v>7.5999999999999998E-2</v>
      </c>
      <c r="G317" s="2">
        <v>0.124</v>
      </c>
      <c r="H317" s="2">
        <v>7.1999999999999995E-2</v>
      </c>
      <c r="I317" s="2">
        <v>0</v>
      </c>
      <c r="J317" s="2">
        <v>3.3000000000000002E-2</v>
      </c>
      <c r="K317" s="3">
        <v>17107</v>
      </c>
      <c r="L317" s="6" t="s">
        <v>124</v>
      </c>
      <c r="M317" s="29">
        <v>56273</v>
      </c>
      <c r="N317" s="2">
        <f>K317/M317</f>
        <v>0.30400014216409288</v>
      </c>
    </row>
    <row r="318" spans="1:14">
      <c r="A318" s="65" t="s">
        <v>711</v>
      </c>
      <c r="B318" s="39" t="s">
        <v>286</v>
      </c>
      <c r="C318" s="40">
        <v>0.38600000000000001</v>
      </c>
      <c r="D318" s="40">
        <v>0.26729999999999998</v>
      </c>
      <c r="E318" s="40">
        <v>3.8600000000000002E-2</v>
      </c>
      <c r="F318" s="40">
        <v>0.1105</v>
      </c>
      <c r="G318" s="40">
        <v>0.11516</v>
      </c>
      <c r="H318" s="40">
        <v>2.46E-2</v>
      </c>
      <c r="I318" s="11">
        <v>0</v>
      </c>
      <c r="J318" s="2">
        <v>5.67E-2</v>
      </c>
      <c r="K318" s="9">
        <v>26085</v>
      </c>
      <c r="L318" s="1" t="s">
        <v>235</v>
      </c>
      <c r="M318" s="9">
        <v>63768</v>
      </c>
      <c r="N318" s="8">
        <v>0.41200000000000003</v>
      </c>
    </row>
    <row r="319" spans="1:14" s="4" customFormat="1">
      <c r="A319" s="65" t="s">
        <v>712</v>
      </c>
      <c r="B319" s="42" t="s">
        <v>328</v>
      </c>
      <c r="C319" s="43">
        <v>0.41610000000000003</v>
      </c>
      <c r="D319" s="43">
        <v>0.23930000000000001</v>
      </c>
      <c r="E319" s="43">
        <v>4.0039999999999999E-2</v>
      </c>
      <c r="F319" s="43">
        <v>0.1696</v>
      </c>
      <c r="G319" s="43">
        <v>7.2300000000000003E-2</v>
      </c>
      <c r="H319" s="43">
        <v>2.886E-2</v>
      </c>
      <c r="I319" s="2">
        <v>0</v>
      </c>
      <c r="J319" s="2">
        <v>3.3509999999999998E-2</v>
      </c>
      <c r="K319" s="3">
        <v>44073</v>
      </c>
      <c r="L319" s="1" t="s">
        <v>302</v>
      </c>
      <c r="M319" s="44">
        <v>104323</v>
      </c>
      <c r="N319" s="48">
        <v>0.42449999999999999</v>
      </c>
    </row>
    <row r="320" spans="1:14">
      <c r="A320" s="65" t="s">
        <v>713</v>
      </c>
      <c r="B320" s="26" t="s">
        <v>148</v>
      </c>
      <c r="C320" s="2">
        <v>0.41099999999999998</v>
      </c>
      <c r="D320" s="2">
        <v>0.13700000000000001</v>
      </c>
      <c r="E320" s="2">
        <v>0.16500000000000001</v>
      </c>
      <c r="F320" s="2">
        <v>8.4000000000000005E-2</v>
      </c>
      <c r="G320" s="2">
        <v>0.107</v>
      </c>
      <c r="H320" s="2">
        <v>5.7000000000000002E-2</v>
      </c>
      <c r="I320" s="2">
        <v>0</v>
      </c>
      <c r="J320" s="2">
        <v>3.7999999999999999E-2</v>
      </c>
      <c r="K320" s="3">
        <v>40964</v>
      </c>
      <c r="L320" s="6" t="s">
        <v>124</v>
      </c>
      <c r="M320" s="27">
        <v>124805</v>
      </c>
      <c r="N320" s="2">
        <f>K320/M320</f>
        <v>0.32822402948599816</v>
      </c>
    </row>
    <row r="321" spans="1:14">
      <c r="A321" s="65" t="s">
        <v>714</v>
      </c>
      <c r="B321" s="30" t="s">
        <v>194</v>
      </c>
      <c r="C321" s="31">
        <v>0.54269854000000006</v>
      </c>
      <c r="D321" s="31">
        <v>0.12714507</v>
      </c>
      <c r="E321" s="31">
        <v>6.3952750000000003E-2</v>
      </c>
      <c r="F321" s="31">
        <v>8.8692300000000002E-2</v>
      </c>
      <c r="G321" s="31">
        <v>8.3191810000000005E-2</v>
      </c>
      <c r="H321" s="31">
        <v>5.5511900000000003E-2</v>
      </c>
      <c r="I321" s="11">
        <v>0</v>
      </c>
      <c r="J321" s="2">
        <v>3.8800000000000001E-2</v>
      </c>
      <c r="K321" s="3">
        <v>39451</v>
      </c>
      <c r="L321" s="6" t="s">
        <v>155</v>
      </c>
      <c r="M321" s="32">
        <v>110924</v>
      </c>
      <c r="N321" s="33">
        <v>0.35565793000000001</v>
      </c>
    </row>
    <row r="322" spans="1:14">
      <c r="A322" s="65" t="s">
        <v>715</v>
      </c>
      <c r="B322" s="39" t="s">
        <v>287</v>
      </c>
      <c r="C322" s="40">
        <v>0.37869000000000003</v>
      </c>
      <c r="D322" s="40">
        <v>0.27400000000000002</v>
      </c>
      <c r="E322" s="40">
        <v>3.5999999999999997E-2</v>
      </c>
      <c r="F322" s="40">
        <v>0.114</v>
      </c>
      <c r="G322" s="40">
        <v>0.12595999999999999</v>
      </c>
      <c r="H322" s="40">
        <v>2.1700000000000001E-2</v>
      </c>
      <c r="I322" s="11">
        <v>0</v>
      </c>
      <c r="J322" s="2">
        <v>4.8800000000000003E-2</v>
      </c>
      <c r="K322" s="9">
        <v>37685</v>
      </c>
      <c r="L322" s="1" t="s">
        <v>235</v>
      </c>
      <c r="M322" s="9">
        <v>93965</v>
      </c>
      <c r="N322" s="8">
        <v>0.40299999999999997</v>
      </c>
    </row>
    <row r="323" spans="1:14">
      <c r="A323" s="65" t="s">
        <v>716</v>
      </c>
      <c r="B323" s="42" t="s">
        <v>329</v>
      </c>
      <c r="C323" s="43">
        <v>0.377</v>
      </c>
      <c r="D323" s="43">
        <v>0.24790000000000001</v>
      </c>
      <c r="E323" s="43">
        <v>3.8899999999999997E-2</v>
      </c>
      <c r="F323" s="43">
        <v>0.14365</v>
      </c>
      <c r="G323" s="43">
        <v>0.11704000000000001</v>
      </c>
      <c r="H323" s="43">
        <v>3.2570000000000002E-2</v>
      </c>
      <c r="I323" s="2">
        <v>0</v>
      </c>
      <c r="J323" s="2">
        <v>4.2200000000000001E-2</v>
      </c>
      <c r="K323" s="3">
        <v>26348</v>
      </c>
      <c r="L323" s="1" t="s">
        <v>302</v>
      </c>
      <c r="M323" s="44">
        <v>69778</v>
      </c>
      <c r="N323" s="48">
        <v>0.37980000000000003</v>
      </c>
    </row>
    <row r="324" spans="1:14">
      <c r="A324" s="65" t="s">
        <v>717</v>
      </c>
      <c r="B324" s="39" t="s">
        <v>288</v>
      </c>
      <c r="C324" s="40">
        <v>0.4919</v>
      </c>
      <c r="D324" s="40">
        <v>0.14199999999999999</v>
      </c>
      <c r="E324" s="40">
        <v>8.6099999999999996E-2</v>
      </c>
      <c r="F324" s="40">
        <v>0.122</v>
      </c>
      <c r="G324" s="40">
        <v>8.1900000000000001E-2</v>
      </c>
      <c r="H324" s="40">
        <v>3.8199999999999998E-2</v>
      </c>
      <c r="I324" s="11">
        <v>0</v>
      </c>
      <c r="J324" s="2">
        <v>3.7499999999999999E-2</v>
      </c>
      <c r="K324" s="9">
        <v>35431</v>
      </c>
      <c r="L324" s="1" t="s">
        <v>235</v>
      </c>
      <c r="M324" s="9">
        <v>98626</v>
      </c>
      <c r="N324" s="8">
        <v>0.36109999999999998</v>
      </c>
    </row>
    <row r="325" spans="1:14">
      <c r="A325" s="65" t="s">
        <v>718</v>
      </c>
      <c r="B325" s="30" t="s">
        <v>195</v>
      </c>
      <c r="C325" s="31">
        <v>0.33860027000000004</v>
      </c>
      <c r="D325" s="31">
        <v>0.30751736000000002</v>
      </c>
      <c r="E325" s="31">
        <v>6.7033759999999998E-2</v>
      </c>
      <c r="F325" s="31">
        <v>0.10881014999999999</v>
      </c>
      <c r="G325" s="31">
        <v>0.10873035</v>
      </c>
      <c r="H325" s="31">
        <v>2.7212510000000002E-2</v>
      </c>
      <c r="I325" s="11">
        <v>0</v>
      </c>
      <c r="J325" s="2">
        <v>4.2000000000000003E-2</v>
      </c>
      <c r="K325" s="3">
        <v>25062</v>
      </c>
      <c r="L325" s="6" t="s">
        <v>155</v>
      </c>
      <c r="M325" s="32">
        <v>67124</v>
      </c>
      <c r="N325" s="33">
        <v>0.37336869</v>
      </c>
    </row>
    <row r="326" spans="1:14">
      <c r="A326" s="65" t="s">
        <v>719</v>
      </c>
      <c r="B326" s="30" t="s">
        <v>196</v>
      </c>
      <c r="C326" s="31">
        <v>0.51729416000000006</v>
      </c>
      <c r="D326" s="31">
        <v>8.5631860000000004E-2</v>
      </c>
      <c r="E326" s="31">
        <v>0.14953931000000001</v>
      </c>
      <c r="F326" s="31">
        <v>6.355421E-2</v>
      </c>
      <c r="G326" s="31">
        <v>7.7212920000000004E-2</v>
      </c>
      <c r="H326" s="31">
        <v>5.7313590000000005E-2</v>
      </c>
      <c r="I326" s="11">
        <v>0</v>
      </c>
      <c r="J326" s="2">
        <v>4.9399999999999999E-2</v>
      </c>
      <c r="K326" s="3">
        <v>33971</v>
      </c>
      <c r="L326" s="6" t="s">
        <v>155</v>
      </c>
      <c r="M326" s="32">
        <v>112191</v>
      </c>
      <c r="N326" s="33">
        <v>0.30279612</v>
      </c>
    </row>
    <row r="327" spans="1:14">
      <c r="A327" s="65" t="s">
        <v>720</v>
      </c>
      <c r="B327" s="39" t="s">
        <v>289</v>
      </c>
      <c r="C327" s="40">
        <v>0.42159999999999997</v>
      </c>
      <c r="D327" s="40">
        <v>0.22170000000000001</v>
      </c>
      <c r="E327" s="40">
        <v>4.1000000000000002E-2</v>
      </c>
      <c r="F327" s="40">
        <v>0.12906000000000001</v>
      </c>
      <c r="G327" s="40">
        <v>0.1195</v>
      </c>
      <c r="H327" s="40">
        <v>2.0199999999999999E-2</v>
      </c>
      <c r="I327" s="11">
        <v>0</v>
      </c>
      <c r="J327" s="2">
        <v>4.6699999999999998E-2</v>
      </c>
      <c r="K327" s="9">
        <v>37269</v>
      </c>
      <c r="L327" s="1" t="s">
        <v>235</v>
      </c>
      <c r="M327" s="9">
        <v>96261</v>
      </c>
      <c r="N327" s="8">
        <v>0.38900000000000001</v>
      </c>
    </row>
    <row r="328" spans="1:14">
      <c r="A328" s="65" t="s">
        <v>721</v>
      </c>
      <c r="B328" s="42" t="s">
        <v>330</v>
      </c>
      <c r="C328" s="43">
        <v>0.51588000000000001</v>
      </c>
      <c r="D328" s="43">
        <v>0.187</v>
      </c>
      <c r="E328" s="43">
        <v>4.48E-2</v>
      </c>
      <c r="F328" s="43">
        <v>0.1018</v>
      </c>
      <c r="G328" s="43">
        <v>7.3599999999999999E-2</v>
      </c>
      <c r="H328" s="43">
        <v>3.8809999999999997E-2</v>
      </c>
      <c r="I328" s="2">
        <v>0</v>
      </c>
      <c r="J328" s="2">
        <v>3.5200000000000002E-2</v>
      </c>
      <c r="K328" s="3">
        <v>36483</v>
      </c>
      <c r="L328" s="1" t="s">
        <v>302</v>
      </c>
      <c r="M328" s="44">
        <v>100917</v>
      </c>
      <c r="N328" s="48">
        <v>0.36330000000000001</v>
      </c>
    </row>
    <row r="329" spans="1:14">
      <c r="A329" s="65" t="s">
        <v>722</v>
      </c>
      <c r="B329" s="5" t="s">
        <v>353</v>
      </c>
      <c r="C329" s="2">
        <v>0.3916</v>
      </c>
      <c r="D329" s="2">
        <v>0.1163</v>
      </c>
      <c r="E329" s="2">
        <v>0.18540000000000001</v>
      </c>
      <c r="F329" s="2">
        <v>5.7000000000000002E-2</v>
      </c>
      <c r="G329" s="2">
        <v>6.2799999999999995E-2</v>
      </c>
      <c r="H329" s="2">
        <v>4.3099999999999999E-2</v>
      </c>
      <c r="I329" s="53">
        <v>0.1091</v>
      </c>
      <c r="J329" s="2">
        <v>3.5000000000000003E-2</v>
      </c>
      <c r="K329" s="54">
        <v>23206</v>
      </c>
      <c r="L329" s="5" t="s">
        <v>334</v>
      </c>
      <c r="M329" s="32">
        <v>69381</v>
      </c>
      <c r="N329" s="2">
        <v>0.33447197000000001</v>
      </c>
    </row>
    <row r="330" spans="1:14">
      <c r="A330" s="65" t="s">
        <v>723</v>
      </c>
      <c r="B330" s="42" t="s">
        <v>331</v>
      </c>
      <c r="C330" s="43">
        <v>0.48659999999999998</v>
      </c>
      <c r="D330" s="43">
        <v>0.1744</v>
      </c>
      <c r="E330" s="43">
        <v>3.32E-2</v>
      </c>
      <c r="F330" s="43">
        <v>0.1449</v>
      </c>
      <c r="G330" s="43">
        <v>7.3400000000000007E-2</v>
      </c>
      <c r="H330" s="43">
        <v>4.2700000000000002E-2</v>
      </c>
      <c r="I330" s="2">
        <v>0</v>
      </c>
      <c r="J330" s="2">
        <v>3.44E-2</v>
      </c>
      <c r="K330" s="9">
        <v>20962</v>
      </c>
      <c r="L330" s="1" t="s">
        <v>302</v>
      </c>
      <c r="M330" s="44">
        <v>53039</v>
      </c>
      <c r="N330" s="48">
        <v>0.39700000000000002</v>
      </c>
    </row>
    <row r="331" spans="1:14">
      <c r="A331" s="65" t="s">
        <v>724</v>
      </c>
      <c r="B331" s="37" t="s">
        <v>231</v>
      </c>
      <c r="C331" s="34">
        <v>0.10110844000000001</v>
      </c>
      <c r="D331" s="34">
        <v>0.25018522999999998</v>
      </c>
      <c r="E331" s="34">
        <v>0.37939005999999997</v>
      </c>
      <c r="F331" s="34">
        <v>0.13977061000000002</v>
      </c>
      <c r="G331" s="34">
        <v>3.7417390000000002E-2</v>
      </c>
      <c r="H331" s="34">
        <v>1.498177E-2</v>
      </c>
      <c r="I331" s="35">
        <v>0</v>
      </c>
      <c r="J331" s="8">
        <v>7.6999999999999999E-2</v>
      </c>
      <c r="K331" s="9">
        <v>67482</v>
      </c>
      <c r="L331" s="1" t="s">
        <v>201</v>
      </c>
      <c r="M331" s="32">
        <v>174126</v>
      </c>
      <c r="N331" s="33">
        <v>0.38754695</v>
      </c>
    </row>
    <row r="332" spans="1:14">
      <c r="A332" s="65" t="s">
        <v>725</v>
      </c>
      <c r="B332" s="1" t="s">
        <v>55</v>
      </c>
      <c r="C332" s="2">
        <v>0.22500000000000001</v>
      </c>
      <c r="D332" s="2">
        <v>0.23300000000000001</v>
      </c>
      <c r="E332" s="2">
        <v>0.20300000000000001</v>
      </c>
      <c r="F332" s="2">
        <v>0.17</v>
      </c>
      <c r="G332" s="2">
        <v>9.0999999999999998E-2</v>
      </c>
      <c r="H332" s="2">
        <v>2.5999999999999999E-2</v>
      </c>
      <c r="I332" s="2">
        <v>0</v>
      </c>
      <c r="J332" s="2">
        <v>5.2999999999999999E-2</v>
      </c>
      <c r="K332" s="13">
        <v>67156</v>
      </c>
      <c r="L332" s="3" t="s">
        <v>21</v>
      </c>
      <c r="M332" s="3">
        <v>167082</v>
      </c>
      <c r="N332" s="2">
        <v>0.40200000000000002</v>
      </c>
    </row>
    <row r="333" spans="1:14">
      <c r="A333" s="65" t="s">
        <v>726</v>
      </c>
      <c r="B333" s="39" t="s">
        <v>290</v>
      </c>
      <c r="C333" s="40">
        <v>0.3296</v>
      </c>
      <c r="D333" s="40">
        <v>0.31559999999999999</v>
      </c>
      <c r="E333" s="40">
        <v>4.3999999999999997E-2</v>
      </c>
      <c r="F333" s="40">
        <v>0.13400000000000001</v>
      </c>
      <c r="G333" s="40">
        <v>0.1016</v>
      </c>
      <c r="H333" s="40">
        <v>1.8599999999999998E-2</v>
      </c>
      <c r="I333" s="11">
        <v>0</v>
      </c>
      <c r="J333" s="2">
        <v>5.6000000000000001E-2</v>
      </c>
      <c r="K333" s="9">
        <v>34496</v>
      </c>
      <c r="L333" s="1" t="s">
        <v>235</v>
      </c>
      <c r="M333" s="9">
        <v>80350</v>
      </c>
      <c r="N333" s="8">
        <v>0.43099999999999999</v>
      </c>
    </row>
    <row r="334" spans="1:14">
      <c r="A334" s="65" t="s">
        <v>727</v>
      </c>
      <c r="B334" s="30" t="s">
        <v>197</v>
      </c>
      <c r="C334" s="31">
        <v>0.37809108000000002</v>
      </c>
      <c r="D334" s="31">
        <v>0.28514415999999998</v>
      </c>
      <c r="E334" s="31">
        <v>3.3195329999999995E-2</v>
      </c>
      <c r="F334" s="31">
        <v>0.12905151000000001</v>
      </c>
      <c r="G334" s="31">
        <v>0.10585208</v>
      </c>
      <c r="H334" s="31">
        <v>2.1521020000000002E-2</v>
      </c>
      <c r="I334" s="11">
        <v>0</v>
      </c>
      <c r="J334" s="2">
        <v>4.7100000000000003E-2</v>
      </c>
      <c r="K334" s="3">
        <v>26811</v>
      </c>
      <c r="L334" s="6" t="s">
        <v>155</v>
      </c>
      <c r="M334" s="32">
        <v>68063</v>
      </c>
      <c r="N334" s="33">
        <v>0.39391446000000002</v>
      </c>
    </row>
    <row r="335" spans="1:14">
      <c r="A335" s="65" t="s">
        <v>728</v>
      </c>
      <c r="B335" s="5" t="s">
        <v>354</v>
      </c>
      <c r="C335" s="2">
        <v>0.31509999999999999</v>
      </c>
      <c r="D335" s="2">
        <v>0.1704</v>
      </c>
      <c r="E335" s="2">
        <v>0.1147</v>
      </c>
      <c r="F335" s="2">
        <v>8.2100000000000006E-2</v>
      </c>
      <c r="G335" s="2">
        <v>9.9099999999999994E-2</v>
      </c>
      <c r="H335" s="2">
        <v>2.86E-2</v>
      </c>
      <c r="I335" s="53">
        <v>0.1525</v>
      </c>
      <c r="J335" s="2">
        <v>3.6999999999999998E-2</v>
      </c>
      <c r="K335" s="54">
        <v>39897</v>
      </c>
      <c r="L335" s="5" t="s">
        <v>334</v>
      </c>
      <c r="M335" s="32">
        <v>96713</v>
      </c>
      <c r="N335" s="2">
        <v>0.4158</v>
      </c>
    </row>
    <row r="336" spans="1:14">
      <c r="A336" s="65" t="s">
        <v>729</v>
      </c>
      <c r="B336" s="39" t="s">
        <v>291</v>
      </c>
      <c r="C336" s="40">
        <v>0.27929999999999999</v>
      </c>
      <c r="D336" s="40">
        <v>0.40339999999999998</v>
      </c>
      <c r="E336" s="40">
        <v>3.7999999999999999E-2</v>
      </c>
      <c r="F336" s="40">
        <v>0.12570000000000001</v>
      </c>
      <c r="G336" s="40">
        <v>9.1090000000000004E-2</v>
      </c>
      <c r="H336" s="40">
        <v>1.7100000000000001E-2</v>
      </c>
      <c r="I336" s="11">
        <v>0</v>
      </c>
      <c r="J336" s="2">
        <v>4.3999999999999997E-2</v>
      </c>
      <c r="K336" s="9">
        <v>42812</v>
      </c>
      <c r="L336" s="1" t="s">
        <v>235</v>
      </c>
      <c r="M336" s="9">
        <v>96893</v>
      </c>
      <c r="N336" s="8">
        <v>0.44420000000000004</v>
      </c>
    </row>
    <row r="337" spans="1:14">
      <c r="A337" s="65" t="s">
        <v>730</v>
      </c>
      <c r="B337" s="1" t="s">
        <v>81</v>
      </c>
      <c r="C337" s="2">
        <v>0.44600000000000001</v>
      </c>
      <c r="D337" s="2">
        <v>0.1</v>
      </c>
      <c r="E337" s="2">
        <v>0.17</v>
      </c>
      <c r="F337" s="2">
        <v>0.08</v>
      </c>
      <c r="G337" s="2">
        <v>5.7000000000000002E-2</v>
      </c>
      <c r="H337" s="2">
        <v>5.8999999999999997E-2</v>
      </c>
      <c r="I337" s="2">
        <v>0</v>
      </c>
      <c r="J337" s="2">
        <v>8.8999999999999996E-2</v>
      </c>
      <c r="K337" s="3">
        <v>74412</v>
      </c>
      <c r="L337" s="6" t="s">
        <v>61</v>
      </c>
      <c r="M337" s="21">
        <v>249921</v>
      </c>
      <c r="N337" s="2">
        <f>K337/M337</f>
        <v>0.29774208649933381</v>
      </c>
    </row>
    <row r="338" spans="1:14">
      <c r="A338" s="65" t="s">
        <v>731</v>
      </c>
      <c r="B338" s="28" t="s">
        <v>149</v>
      </c>
      <c r="C338" s="2">
        <v>0.42699999999999999</v>
      </c>
      <c r="D338" s="2">
        <v>9.7000000000000003E-2</v>
      </c>
      <c r="E338" s="2">
        <v>0.215</v>
      </c>
      <c r="F338" s="2">
        <v>5.7000000000000002E-2</v>
      </c>
      <c r="G338" s="2">
        <v>0.106</v>
      </c>
      <c r="H338" s="2">
        <v>7.0000000000000007E-2</v>
      </c>
      <c r="I338" s="2">
        <v>0</v>
      </c>
      <c r="J338" s="2">
        <v>2.7E-2</v>
      </c>
      <c r="K338" s="3">
        <v>55069</v>
      </c>
      <c r="L338" s="6" t="s">
        <v>124</v>
      </c>
      <c r="M338" s="29">
        <v>192838</v>
      </c>
      <c r="N338" s="2">
        <f>K338/M338</f>
        <v>0.28557130855951629</v>
      </c>
    </row>
    <row r="339" spans="1:14">
      <c r="A339" s="65" t="s">
        <v>732</v>
      </c>
      <c r="B339" s="37" t="s">
        <v>232</v>
      </c>
      <c r="C339" s="34">
        <v>0.15298113000000002</v>
      </c>
      <c r="D339" s="34">
        <v>0.22139413000000002</v>
      </c>
      <c r="E339" s="34">
        <v>0.3100194</v>
      </c>
      <c r="F339" s="34">
        <v>0.16693126</v>
      </c>
      <c r="G339" s="34">
        <v>5.1728699999999996E-2</v>
      </c>
      <c r="H339" s="34">
        <v>1.8124890000000001E-2</v>
      </c>
      <c r="I339" s="35">
        <v>0</v>
      </c>
      <c r="J339" s="8">
        <v>7.8799999999999995E-2</v>
      </c>
      <c r="K339" s="9">
        <v>68028</v>
      </c>
      <c r="L339" s="1" t="s">
        <v>201</v>
      </c>
      <c r="M339" s="32">
        <v>166055</v>
      </c>
      <c r="N339" s="33">
        <v>0.40967148999999997</v>
      </c>
    </row>
    <row r="340" spans="1:14">
      <c r="A340" s="65" t="s">
        <v>733</v>
      </c>
      <c r="B340" s="37" t="s">
        <v>233</v>
      </c>
      <c r="C340" s="34">
        <v>0.12383513</v>
      </c>
      <c r="D340" s="34">
        <v>0.36676952999999995</v>
      </c>
      <c r="E340" s="34">
        <v>0.15772964</v>
      </c>
      <c r="F340" s="34">
        <v>0.13948893000000001</v>
      </c>
      <c r="G340" s="34">
        <v>9.5684760000000008E-2</v>
      </c>
      <c r="H340" s="34">
        <v>1.0765169999999999E-2</v>
      </c>
      <c r="I340" s="35">
        <v>0</v>
      </c>
      <c r="J340" s="8">
        <v>0.1057</v>
      </c>
      <c r="K340" s="9">
        <v>98187</v>
      </c>
      <c r="L340" s="1" t="s">
        <v>201</v>
      </c>
      <c r="M340" s="32">
        <v>210046</v>
      </c>
      <c r="N340" s="33">
        <v>0.46745474999999997</v>
      </c>
    </row>
    <row r="341" spans="1:14" s="4" customFormat="1">
      <c r="A341" s="65" t="s">
        <v>734</v>
      </c>
      <c r="B341" s="1" t="s">
        <v>56</v>
      </c>
      <c r="C341" s="2">
        <v>0.31900000000000001</v>
      </c>
      <c r="D341" s="2">
        <v>0.20499999999999999</v>
      </c>
      <c r="E341" s="2">
        <v>0.17100000000000001</v>
      </c>
      <c r="F341" s="2">
        <v>0.11899999999999999</v>
      </c>
      <c r="G341" s="2">
        <v>8.3000000000000004E-2</v>
      </c>
      <c r="H341" s="2">
        <v>3.7999999999999999E-2</v>
      </c>
      <c r="I341" s="2">
        <v>0</v>
      </c>
      <c r="J341" s="2">
        <v>6.5000000000000002E-2</v>
      </c>
      <c r="K341" s="13">
        <v>55856</v>
      </c>
      <c r="L341" s="3" t="s">
        <v>21</v>
      </c>
      <c r="M341" s="3">
        <v>158158</v>
      </c>
      <c r="N341" s="2">
        <v>0.35299999999999998</v>
      </c>
    </row>
    <row r="342" spans="1:14">
      <c r="A342" s="65" t="s">
        <v>735</v>
      </c>
      <c r="B342" s="28" t="s">
        <v>150</v>
      </c>
      <c r="C342" s="2">
        <v>0.252</v>
      </c>
      <c r="D342" s="2">
        <v>0.29799999999999999</v>
      </c>
      <c r="E342" s="2">
        <v>9.5000000000000001E-2</v>
      </c>
      <c r="F342" s="2">
        <v>0.187</v>
      </c>
      <c r="G342" s="2">
        <v>9.9000000000000005E-2</v>
      </c>
      <c r="H342" s="2">
        <v>2.5999999999999999E-2</v>
      </c>
      <c r="I342" s="2">
        <v>0</v>
      </c>
      <c r="J342" s="2">
        <v>4.2999999999999997E-2</v>
      </c>
      <c r="K342" s="3">
        <v>44419</v>
      </c>
      <c r="L342" s="6" t="s">
        <v>124</v>
      </c>
      <c r="M342" s="29">
        <v>106182</v>
      </c>
      <c r="N342" s="2">
        <f>K342/M342</f>
        <v>0.41832890697104969</v>
      </c>
    </row>
    <row r="343" spans="1:14">
      <c r="A343" s="65" t="s">
        <v>736</v>
      </c>
      <c r="B343" s="30" t="s">
        <v>198</v>
      </c>
      <c r="C343" s="31">
        <v>0.27210376000000003</v>
      </c>
      <c r="D343" s="31">
        <v>0.34319631</v>
      </c>
      <c r="E343" s="31">
        <v>0.15902395999999999</v>
      </c>
      <c r="F343" s="31">
        <v>9.3559020000000007E-2</v>
      </c>
      <c r="G343" s="31">
        <v>7.1752029999999994E-2</v>
      </c>
      <c r="H343" s="31">
        <v>2.4972520000000002E-2</v>
      </c>
      <c r="I343" s="11">
        <v>0</v>
      </c>
      <c r="J343" s="2">
        <v>3.5299999999999998E-2</v>
      </c>
      <c r="K343" s="3">
        <v>22745</v>
      </c>
      <c r="L343" s="6" t="s">
        <v>155</v>
      </c>
      <c r="M343" s="32">
        <v>63902</v>
      </c>
      <c r="N343" s="33">
        <v>0.35593564999999999</v>
      </c>
    </row>
    <row r="344" spans="1:14">
      <c r="A344" s="65" t="s">
        <v>737</v>
      </c>
      <c r="B344" s="39" t="s">
        <v>292</v>
      </c>
      <c r="C344" s="40">
        <v>0.28760000000000002</v>
      </c>
      <c r="D344" s="40">
        <v>0.35102</v>
      </c>
      <c r="E344" s="40">
        <v>2.5000000000000001E-2</v>
      </c>
      <c r="F344" s="40">
        <v>0.14532999999999999</v>
      </c>
      <c r="G344" s="40">
        <v>0.11495</v>
      </c>
      <c r="H344" s="40">
        <v>1.52E-2</v>
      </c>
      <c r="I344" s="11">
        <v>0</v>
      </c>
      <c r="J344" s="2">
        <v>6.0850000000000001E-2</v>
      </c>
      <c r="K344" s="9">
        <v>40328</v>
      </c>
      <c r="L344" s="1" t="s">
        <v>235</v>
      </c>
      <c r="M344" s="9">
        <v>91011</v>
      </c>
      <c r="N344" s="8">
        <v>0.44600000000000001</v>
      </c>
    </row>
    <row r="345" spans="1:14">
      <c r="A345" s="65" t="s">
        <v>738</v>
      </c>
      <c r="B345" s="39" t="s">
        <v>293</v>
      </c>
      <c r="C345" s="40">
        <v>0.42199999999999999</v>
      </c>
      <c r="D345" s="40">
        <v>0.21944</v>
      </c>
      <c r="E345" s="40">
        <v>3.329E-2</v>
      </c>
      <c r="F345" s="40">
        <v>0.14499999999999999</v>
      </c>
      <c r="G345" s="40">
        <v>0.11076999999999999</v>
      </c>
      <c r="H345" s="40">
        <v>2.1499999999999998E-2</v>
      </c>
      <c r="I345" s="11">
        <v>0</v>
      </c>
      <c r="J345" s="2">
        <v>4.7E-2</v>
      </c>
      <c r="K345" s="9">
        <v>50491</v>
      </c>
      <c r="L345" s="1" t="s">
        <v>235</v>
      </c>
      <c r="M345" s="9">
        <v>121916</v>
      </c>
      <c r="N345" s="8">
        <v>0.41649999999999998</v>
      </c>
    </row>
    <row r="346" spans="1:14">
      <c r="A346" s="65" t="s">
        <v>739</v>
      </c>
      <c r="B346" s="22" t="s">
        <v>122</v>
      </c>
      <c r="C346" s="2">
        <v>0.39500000000000002</v>
      </c>
      <c r="D346" s="2">
        <v>0.153</v>
      </c>
      <c r="E346" s="2">
        <v>0.128</v>
      </c>
      <c r="F346" s="2">
        <v>0.1</v>
      </c>
      <c r="G346" s="2">
        <v>0.127</v>
      </c>
      <c r="H346" s="2">
        <v>5.1999999999999998E-2</v>
      </c>
      <c r="I346" s="2">
        <v>0</v>
      </c>
      <c r="J346" s="2">
        <v>4.4999999999999998E-2</v>
      </c>
      <c r="K346" s="3">
        <v>19997</v>
      </c>
      <c r="L346" s="6" t="s">
        <v>83</v>
      </c>
      <c r="M346" s="24">
        <v>55685</v>
      </c>
      <c r="N346" s="2">
        <f>K346/M346</f>
        <v>0.35910927538834514</v>
      </c>
    </row>
    <row r="347" spans="1:14">
      <c r="A347" s="65" t="s">
        <v>740</v>
      </c>
      <c r="B347" s="30" t="s">
        <v>199</v>
      </c>
      <c r="C347" s="31">
        <v>0.33319445999999997</v>
      </c>
      <c r="D347" s="31">
        <v>0.28052632999999999</v>
      </c>
      <c r="E347" s="31">
        <v>9.9086900000000006E-2</v>
      </c>
      <c r="F347" s="31">
        <v>0.10356559999999999</v>
      </c>
      <c r="G347" s="31">
        <v>0.11436309</v>
      </c>
      <c r="H347" s="31">
        <v>2.6872199999999999E-2</v>
      </c>
      <c r="I347" s="11">
        <v>0</v>
      </c>
      <c r="J347" s="2">
        <v>4.2299999999999997E-2</v>
      </c>
      <c r="K347" s="3">
        <v>28803</v>
      </c>
      <c r="L347" s="6" t="s">
        <v>155</v>
      </c>
      <c r="M347" s="32">
        <v>76438</v>
      </c>
      <c r="N347" s="33">
        <v>0.37681520000000002</v>
      </c>
    </row>
    <row r="348" spans="1:14">
      <c r="A348" s="65" t="s">
        <v>741</v>
      </c>
      <c r="B348" s="39" t="s">
        <v>294</v>
      </c>
      <c r="C348" s="40">
        <v>0.33988000000000002</v>
      </c>
      <c r="D348" s="40">
        <v>0.30009999999999998</v>
      </c>
      <c r="E348" s="40">
        <v>3.5000000000000003E-2</v>
      </c>
      <c r="F348" s="40">
        <v>0.12944</v>
      </c>
      <c r="G348" s="40">
        <v>0.12820000000000001</v>
      </c>
      <c r="H348" s="40">
        <v>1.8950000000000002E-2</v>
      </c>
      <c r="I348" s="11">
        <v>0</v>
      </c>
      <c r="J348" s="2">
        <v>4.82E-2</v>
      </c>
      <c r="K348" s="9">
        <v>46575</v>
      </c>
      <c r="L348" s="1" t="s">
        <v>235</v>
      </c>
      <c r="M348" s="9">
        <v>119028</v>
      </c>
      <c r="N348" s="8">
        <v>0.39299999999999996</v>
      </c>
    </row>
    <row r="349" spans="1:14">
      <c r="A349" s="65" t="s">
        <v>742</v>
      </c>
      <c r="B349" s="42" t="s">
        <v>332</v>
      </c>
      <c r="C349" s="43">
        <v>0.40660000000000002</v>
      </c>
      <c r="D349" s="43">
        <v>0.19939999999999999</v>
      </c>
      <c r="E349" s="43">
        <v>3.7400000000000003E-2</v>
      </c>
      <c r="F349" s="43">
        <v>0.18992000000000001</v>
      </c>
      <c r="G349" s="43">
        <v>9.4799999999999995E-2</v>
      </c>
      <c r="H349" s="43">
        <v>3.0599999999999999E-2</v>
      </c>
      <c r="I349" s="2">
        <v>0</v>
      </c>
      <c r="J349" s="2">
        <v>4.0980000000000003E-2</v>
      </c>
      <c r="K349" s="3">
        <v>19592</v>
      </c>
      <c r="L349" s="1" t="s">
        <v>302</v>
      </c>
      <c r="M349" s="44">
        <v>42954</v>
      </c>
      <c r="N349" s="48">
        <v>0.45889999999999997</v>
      </c>
    </row>
    <row r="350" spans="1:14">
      <c r="A350" s="65" t="s">
        <v>743</v>
      </c>
      <c r="B350" s="55" t="s">
        <v>388</v>
      </c>
      <c r="C350" s="56">
        <v>0.13865114686751112</v>
      </c>
      <c r="D350" s="57">
        <v>7.277225611056605E-2</v>
      </c>
      <c r="E350" s="57">
        <v>0.15987714882907478</v>
      </c>
      <c r="F350" s="57">
        <v>6.6288444311734848E-2</v>
      </c>
      <c r="G350" s="56">
        <v>6.3302478351746794E-2</v>
      </c>
      <c r="H350" s="56">
        <v>2.0665022535929927E-2</v>
      </c>
      <c r="I350" s="56">
        <v>0.45514652561532226</v>
      </c>
      <c r="J350" s="57">
        <v>2.3674444397048161E-2</v>
      </c>
      <c r="K350" s="58">
        <v>23443</v>
      </c>
      <c r="L350" s="1" t="s">
        <v>357</v>
      </c>
      <c r="M350" s="59">
        <v>65913</v>
      </c>
      <c r="N350" s="60">
        <v>0.35700000000000004</v>
      </c>
    </row>
    <row r="351" spans="1:14">
      <c r="A351" s="65" t="s">
        <v>744</v>
      </c>
      <c r="B351" s="17" t="s">
        <v>57</v>
      </c>
      <c r="C351" s="16">
        <v>0.35099999999999998</v>
      </c>
      <c r="D351" s="16">
        <v>0.152</v>
      </c>
      <c r="E351" s="16">
        <v>0.189</v>
      </c>
      <c r="F351" s="16">
        <v>0.123</v>
      </c>
      <c r="G351" s="16">
        <v>0.09</v>
      </c>
      <c r="H351" s="16">
        <v>3.6999999999999998E-2</v>
      </c>
      <c r="I351" s="2">
        <v>0</v>
      </c>
      <c r="J351" s="2">
        <v>5.8000000000000003E-2</v>
      </c>
      <c r="K351" s="13">
        <v>29066</v>
      </c>
      <c r="L351" s="3" t="s">
        <v>21</v>
      </c>
      <c r="M351" s="14">
        <v>84056</v>
      </c>
      <c r="N351" s="15">
        <v>0.34599999999999997</v>
      </c>
    </row>
    <row r="352" spans="1:14">
      <c r="A352" s="65" t="s">
        <v>745</v>
      </c>
      <c r="B352" s="22" t="s">
        <v>123</v>
      </c>
      <c r="C352" s="2">
        <v>0.45400000000000001</v>
      </c>
      <c r="D352" s="2">
        <v>0.18099999999999999</v>
      </c>
      <c r="E352" s="2">
        <v>0.06</v>
      </c>
      <c r="F352" s="2">
        <v>8.7999999999999995E-2</v>
      </c>
      <c r="G352" s="2">
        <v>0.13</v>
      </c>
      <c r="H352" s="2">
        <v>4.4999999999999998E-2</v>
      </c>
      <c r="I352" s="2">
        <v>0</v>
      </c>
      <c r="J352" s="2">
        <v>4.2000000000000003E-2</v>
      </c>
      <c r="K352" s="3">
        <v>25149</v>
      </c>
      <c r="L352" s="6" t="s">
        <v>83</v>
      </c>
      <c r="M352" s="24">
        <v>73215</v>
      </c>
      <c r="N352" s="2">
        <f>K352/M352</f>
        <v>0.34349518541282525</v>
      </c>
    </row>
    <row r="353" spans="1:14">
      <c r="A353" s="65" t="s">
        <v>746</v>
      </c>
      <c r="B353" s="55" t="s">
        <v>389</v>
      </c>
      <c r="C353" s="56">
        <v>0.16461183582564429</v>
      </c>
      <c r="D353" s="57">
        <v>0.10926036089629189</v>
      </c>
      <c r="E353" s="57">
        <v>0.11552647233789411</v>
      </c>
      <c r="F353" s="57">
        <v>6.964108665476898E-2</v>
      </c>
      <c r="G353" s="56">
        <v>9.1394011501090625E-2</v>
      </c>
      <c r="H353" s="56">
        <v>2.2601439531756702E-2</v>
      </c>
      <c r="I353" s="56">
        <v>0.39920682133650603</v>
      </c>
      <c r="J353" s="57">
        <v>2.8157842554035296E-2</v>
      </c>
      <c r="K353" s="58">
        <v>50430</v>
      </c>
      <c r="L353" s="1" t="s">
        <v>357</v>
      </c>
      <c r="M353" s="59">
        <v>131295</v>
      </c>
      <c r="N353" s="60">
        <v>0.38500000000000001</v>
      </c>
    </row>
    <row r="354" spans="1:14">
      <c r="A354" s="65" t="s">
        <v>747</v>
      </c>
      <c r="B354" s="39" t="s">
        <v>295</v>
      </c>
      <c r="C354" s="40">
        <v>0.3125</v>
      </c>
      <c r="D354" s="40">
        <v>0.3155</v>
      </c>
      <c r="E354" s="40">
        <v>5.3900000000000003E-2</v>
      </c>
      <c r="F354" s="40">
        <v>0.14230000000000001</v>
      </c>
      <c r="G354" s="40">
        <v>0.1096</v>
      </c>
      <c r="H354" s="40">
        <v>1.89E-2</v>
      </c>
      <c r="I354" s="11">
        <v>0</v>
      </c>
      <c r="J354" s="2">
        <v>4.7E-2</v>
      </c>
      <c r="K354" s="9">
        <v>33600</v>
      </c>
      <c r="L354" s="1" t="s">
        <v>235</v>
      </c>
      <c r="M354" s="9">
        <v>81639</v>
      </c>
      <c r="N354" s="8">
        <v>0.41158816999999998</v>
      </c>
    </row>
    <row r="355" spans="1:14">
      <c r="A355" s="65" t="s">
        <v>748</v>
      </c>
      <c r="B355" s="30" t="s">
        <v>200</v>
      </c>
      <c r="C355" s="31">
        <v>0.39704961</v>
      </c>
      <c r="D355" s="31">
        <v>0.17991612000000001</v>
      </c>
      <c r="E355" s="31">
        <v>6.6239210000000007E-2</v>
      </c>
      <c r="F355" s="31">
        <v>0.13997493</v>
      </c>
      <c r="G355" s="31">
        <v>0.12666923999999999</v>
      </c>
      <c r="H355" s="31">
        <v>3.6204979999999998E-2</v>
      </c>
      <c r="I355" s="11">
        <v>0</v>
      </c>
      <c r="J355" s="2">
        <v>5.3900000000000003E-2</v>
      </c>
      <c r="K355" s="3">
        <v>41486</v>
      </c>
      <c r="L355" s="6" t="s">
        <v>155</v>
      </c>
      <c r="M355" s="32">
        <v>117410</v>
      </c>
      <c r="N355" s="33">
        <v>0.35334299000000002</v>
      </c>
    </row>
    <row r="356" spans="1:14">
      <c r="A356" s="65" t="s">
        <v>749</v>
      </c>
      <c r="B356" s="37" t="s">
        <v>234</v>
      </c>
      <c r="C356" s="31">
        <v>0.15170528</v>
      </c>
      <c r="D356" s="31">
        <v>0.33501493999999998</v>
      </c>
      <c r="E356" s="31">
        <v>0.19484071</v>
      </c>
      <c r="F356" s="31">
        <v>9.7293169999999998E-2</v>
      </c>
      <c r="G356" s="31">
        <v>0.11018081</v>
      </c>
      <c r="H356" s="31">
        <v>1.4201839999999999E-2</v>
      </c>
      <c r="I356" s="11">
        <v>0</v>
      </c>
      <c r="J356" s="2">
        <v>9.6699999999999994E-2</v>
      </c>
      <c r="K356" s="9">
        <v>47177</v>
      </c>
      <c r="L356" s="1" t="s">
        <v>201</v>
      </c>
      <c r="M356" s="32">
        <v>117147</v>
      </c>
      <c r="N356" s="33">
        <v>0.40271625</v>
      </c>
    </row>
    <row r="357" spans="1:14">
      <c r="A357" s="65" t="s">
        <v>750</v>
      </c>
      <c r="B357" s="1" t="s">
        <v>58</v>
      </c>
      <c r="C357" s="2">
        <v>0.41</v>
      </c>
      <c r="D357" s="2">
        <v>0.11</v>
      </c>
      <c r="E357" s="2">
        <v>0.19900000000000001</v>
      </c>
      <c r="F357" s="2">
        <v>9.4E-2</v>
      </c>
      <c r="G357" s="2">
        <v>5.1999999999999998E-2</v>
      </c>
      <c r="H357" s="2">
        <v>5.3999999999999999E-2</v>
      </c>
      <c r="I357" s="2">
        <v>0</v>
      </c>
      <c r="J357" s="2">
        <v>8.2000000000000003E-2</v>
      </c>
      <c r="K357" s="13">
        <v>65668</v>
      </c>
      <c r="L357" s="3" t="s">
        <v>21</v>
      </c>
      <c r="M357" s="3">
        <v>236433</v>
      </c>
      <c r="N357" s="2">
        <v>0.27800000000000002</v>
      </c>
    </row>
    <row r="358" spans="1:14">
      <c r="A358" s="65" t="s">
        <v>751</v>
      </c>
      <c r="B358" s="49" t="s">
        <v>333</v>
      </c>
      <c r="C358" s="50">
        <v>0.35754999999999998</v>
      </c>
      <c r="D358" s="50">
        <v>0.25140000000000001</v>
      </c>
      <c r="E358" s="50">
        <v>4.2099999999999999E-2</v>
      </c>
      <c r="F358" s="50">
        <v>0.16259999999999999</v>
      </c>
      <c r="G358" s="50">
        <v>0.1128</v>
      </c>
      <c r="H358" s="50">
        <v>3.1600000000000003E-2</v>
      </c>
      <c r="I358" s="51">
        <v>0</v>
      </c>
      <c r="J358" s="51">
        <v>4.1599999999999998E-2</v>
      </c>
      <c r="K358" s="3">
        <v>158334</v>
      </c>
      <c r="L358" s="1" t="s">
        <v>302</v>
      </c>
      <c r="M358" s="52">
        <v>365628</v>
      </c>
      <c r="N358" s="48">
        <v>0.43640000000000001</v>
      </c>
    </row>
    <row r="359" spans="1:14">
      <c r="A359" s="65" t="s">
        <v>752</v>
      </c>
      <c r="B359" s="39" t="s">
        <v>296</v>
      </c>
      <c r="C359" s="40">
        <v>0.2913</v>
      </c>
      <c r="D359" s="40">
        <v>0.40400000000000003</v>
      </c>
      <c r="E359" s="40">
        <v>2.4899999999999999E-2</v>
      </c>
      <c r="F359" s="40">
        <v>0.11991</v>
      </c>
      <c r="G359" s="40">
        <v>0.1024</v>
      </c>
      <c r="H359" s="40">
        <v>1.35E-2</v>
      </c>
      <c r="I359" s="11">
        <v>0</v>
      </c>
      <c r="J359" s="2">
        <v>4.3799999999999999E-2</v>
      </c>
      <c r="K359" s="9">
        <v>41721</v>
      </c>
      <c r="L359" s="1" t="s">
        <v>235</v>
      </c>
      <c r="M359" s="9">
        <v>89213</v>
      </c>
      <c r="N359" s="8">
        <v>0.46765605999999998</v>
      </c>
    </row>
    <row r="360" spans="1:14">
      <c r="A360" s="65" t="s">
        <v>753</v>
      </c>
      <c r="B360" s="39" t="s">
        <v>297</v>
      </c>
      <c r="C360" s="40">
        <v>0.32500000000000001</v>
      </c>
      <c r="D360" s="40">
        <v>0.31233</v>
      </c>
      <c r="E360" s="40">
        <v>4.4999999999999998E-2</v>
      </c>
      <c r="F360" s="40">
        <v>0.1113</v>
      </c>
      <c r="G360" s="40">
        <v>0.13439999999999999</v>
      </c>
      <c r="H360" s="40">
        <v>1.41E-2</v>
      </c>
      <c r="I360" s="11">
        <v>0</v>
      </c>
      <c r="J360" s="2">
        <v>5.7000000000000002E-2</v>
      </c>
      <c r="K360" s="9">
        <v>40882</v>
      </c>
      <c r="L360" s="1" t="s">
        <v>235</v>
      </c>
      <c r="M360" s="9">
        <v>103779</v>
      </c>
      <c r="N360" s="8">
        <v>0.39393326000000001</v>
      </c>
    </row>
    <row r="361" spans="1:14">
      <c r="A361" s="65" t="s">
        <v>754</v>
      </c>
      <c r="B361" s="1" t="s">
        <v>59</v>
      </c>
      <c r="C361" s="2">
        <v>0.29199999999999998</v>
      </c>
      <c r="D361" s="2">
        <v>0.17799999999999999</v>
      </c>
      <c r="E361" s="2">
        <v>0.20599999999999999</v>
      </c>
      <c r="F361" s="2">
        <v>0.16500000000000001</v>
      </c>
      <c r="G361" s="2">
        <v>7.4999999999999997E-2</v>
      </c>
      <c r="H361" s="2">
        <v>0.03</v>
      </c>
      <c r="I361" s="2">
        <v>0</v>
      </c>
      <c r="J361" s="2">
        <v>5.3999999999999999E-2</v>
      </c>
      <c r="K361" s="13">
        <v>82056</v>
      </c>
      <c r="L361" s="3" t="s">
        <v>21</v>
      </c>
      <c r="M361" s="3">
        <v>240461</v>
      </c>
      <c r="N361" s="2">
        <v>0.34100000000000003</v>
      </c>
    </row>
    <row r="362" spans="1:14">
      <c r="A362" s="65" t="s">
        <v>755</v>
      </c>
      <c r="B362" s="39" t="s">
        <v>298</v>
      </c>
      <c r="C362" s="40">
        <v>0.28339999999999999</v>
      </c>
      <c r="D362" s="40">
        <v>0.36099999999999999</v>
      </c>
      <c r="E362" s="40">
        <v>6.0659999999999999E-2</v>
      </c>
      <c r="F362" s="40">
        <v>0.10489999999999999</v>
      </c>
      <c r="G362" s="40">
        <v>0.1134</v>
      </c>
      <c r="H362" s="40">
        <v>1.8700000000000001E-2</v>
      </c>
      <c r="I362" s="11">
        <v>0</v>
      </c>
      <c r="J362" s="2">
        <v>5.7299999999999997E-2</v>
      </c>
      <c r="K362" s="9">
        <v>27101</v>
      </c>
      <c r="L362" s="1" t="s">
        <v>235</v>
      </c>
      <c r="M362" s="9">
        <v>70360</v>
      </c>
      <c r="N362" s="8">
        <v>0.38700000000000001</v>
      </c>
    </row>
    <row r="363" spans="1:14">
      <c r="A363" s="65" t="s">
        <v>756</v>
      </c>
      <c r="B363" s="39" t="s">
        <v>299</v>
      </c>
      <c r="C363" s="40">
        <v>0.29049999999999998</v>
      </c>
      <c r="D363" s="40">
        <v>0.34279999999999999</v>
      </c>
      <c r="E363" s="40">
        <v>5.2999999999999999E-2</v>
      </c>
      <c r="F363" s="40">
        <v>0.1145</v>
      </c>
      <c r="G363" s="40">
        <v>0.12486</v>
      </c>
      <c r="H363" s="40">
        <v>1.49E-2</v>
      </c>
      <c r="I363" s="11">
        <v>0</v>
      </c>
      <c r="J363" s="2">
        <v>5.9200000000000003E-2</v>
      </c>
      <c r="K363" s="9">
        <v>50695</v>
      </c>
      <c r="L363" s="1" t="s">
        <v>235</v>
      </c>
      <c r="M363" s="9">
        <v>122167</v>
      </c>
      <c r="N363" s="8">
        <v>0.41700000000000004</v>
      </c>
    </row>
    <row r="364" spans="1:14">
      <c r="A364" s="65" t="s">
        <v>757</v>
      </c>
      <c r="B364" s="26" t="s">
        <v>151</v>
      </c>
      <c r="C364" s="2">
        <v>0.37</v>
      </c>
      <c r="D364" s="2">
        <v>0.104</v>
      </c>
      <c r="E364" s="2">
        <v>0.28000000000000003</v>
      </c>
      <c r="F364" s="2">
        <v>7.1999999999999995E-2</v>
      </c>
      <c r="G364" s="2">
        <v>9.0999999999999998E-2</v>
      </c>
      <c r="H364" s="2">
        <v>5.8000000000000003E-2</v>
      </c>
      <c r="I364" s="2">
        <v>0</v>
      </c>
      <c r="J364" s="2">
        <v>2.5000000000000001E-2</v>
      </c>
      <c r="K364" s="3">
        <v>48986</v>
      </c>
      <c r="L364" s="6" t="s">
        <v>124</v>
      </c>
      <c r="M364" s="27">
        <v>171153</v>
      </c>
      <c r="N364" s="2">
        <f>K364/M364</f>
        <v>0.28621175205810007</v>
      </c>
    </row>
    <row r="365" spans="1:14">
      <c r="A365" s="65" t="s">
        <v>758</v>
      </c>
      <c r="B365" s="26" t="s">
        <v>152</v>
      </c>
      <c r="C365" s="2">
        <v>0.32900000000000001</v>
      </c>
      <c r="D365" s="2">
        <v>0.19800000000000001</v>
      </c>
      <c r="E365" s="2">
        <v>0.122</v>
      </c>
      <c r="F365" s="2">
        <v>0.16900000000000001</v>
      </c>
      <c r="G365" s="2">
        <v>9.8000000000000004E-2</v>
      </c>
      <c r="H365" s="2">
        <v>4.5999999999999999E-2</v>
      </c>
      <c r="I365" s="2">
        <v>0</v>
      </c>
      <c r="J365" s="2">
        <v>3.7999999999999999E-2</v>
      </c>
      <c r="K365" s="3">
        <v>25407</v>
      </c>
      <c r="L365" s="6" t="s">
        <v>124</v>
      </c>
      <c r="M365" s="27">
        <v>72371</v>
      </c>
      <c r="N365" s="2">
        <f>K365/M365</f>
        <v>0.35106603473767117</v>
      </c>
    </row>
    <row r="366" spans="1:14">
      <c r="A366" s="65" t="s">
        <v>759</v>
      </c>
      <c r="B366" s="39" t="s">
        <v>300</v>
      </c>
      <c r="C366" s="40">
        <v>0.36030000000000001</v>
      </c>
      <c r="D366" s="40">
        <v>0.216</v>
      </c>
      <c r="E366" s="40">
        <v>9.5899999999999999E-2</v>
      </c>
      <c r="F366" s="41">
        <v>0.15590000000000001</v>
      </c>
      <c r="G366" s="41">
        <v>9.6199999999999994E-2</v>
      </c>
      <c r="H366" s="40">
        <v>2.3199999999999998E-2</v>
      </c>
      <c r="I366" s="11">
        <v>0</v>
      </c>
      <c r="J366" s="2">
        <v>4.8320000000000002E-2</v>
      </c>
      <c r="K366" s="9">
        <v>31206</v>
      </c>
      <c r="L366" s="1" t="s">
        <v>235</v>
      </c>
      <c r="M366" s="9">
        <v>82341</v>
      </c>
      <c r="N366" s="8">
        <v>0.38119999999999998</v>
      </c>
    </row>
    <row r="367" spans="1:14">
      <c r="A367" s="65" t="s">
        <v>760</v>
      </c>
      <c r="B367" s="5" t="s">
        <v>355</v>
      </c>
      <c r="C367" s="2">
        <v>0.37009999999999998</v>
      </c>
      <c r="D367" s="2">
        <v>0.13311000000000001</v>
      </c>
      <c r="E367" s="2">
        <v>0.15279999999999999</v>
      </c>
      <c r="F367" s="2">
        <v>5.5399999999999998E-2</v>
      </c>
      <c r="G367" s="2">
        <v>7.5700000000000003E-2</v>
      </c>
      <c r="H367" s="2">
        <v>3.2199999999999999E-2</v>
      </c>
      <c r="I367" s="53">
        <v>0.1401</v>
      </c>
      <c r="J367" s="2">
        <v>4.1000000000000002E-2</v>
      </c>
      <c r="K367" s="54">
        <v>32627</v>
      </c>
      <c r="L367" s="5" t="s">
        <v>334</v>
      </c>
      <c r="M367" s="32">
        <v>96582</v>
      </c>
      <c r="N367" s="2">
        <v>0.33781657000000004</v>
      </c>
    </row>
    <row r="368" spans="1:14">
      <c r="A368" s="65" t="s">
        <v>761</v>
      </c>
      <c r="B368" s="26" t="s">
        <v>153</v>
      </c>
      <c r="C368" s="2">
        <v>0.40799999999999997</v>
      </c>
      <c r="D368" s="2">
        <v>0.2</v>
      </c>
      <c r="E368" s="2">
        <v>4.7E-2</v>
      </c>
      <c r="F368" s="2">
        <v>0.11</v>
      </c>
      <c r="G368" s="2">
        <v>0.14799999999999999</v>
      </c>
      <c r="H368" s="2">
        <v>4.3999999999999997E-2</v>
      </c>
      <c r="I368" s="2">
        <v>0</v>
      </c>
      <c r="J368" s="2">
        <v>4.2000000000000003E-2</v>
      </c>
      <c r="K368" s="3">
        <v>37388</v>
      </c>
      <c r="L368" s="6" t="s">
        <v>124</v>
      </c>
      <c r="M368" s="27">
        <v>96090</v>
      </c>
      <c r="N368" s="2">
        <f>K368/M368</f>
        <v>0.38909355812259339</v>
      </c>
    </row>
    <row r="369" spans="1:14">
      <c r="A369" s="65" t="s">
        <v>762</v>
      </c>
      <c r="B369" s="39" t="s">
        <v>301</v>
      </c>
      <c r="C369" s="40">
        <v>0.31254999999999999</v>
      </c>
      <c r="D369" s="40">
        <v>0.26619999999999999</v>
      </c>
      <c r="E369" s="40">
        <v>9.7699999999999995E-2</v>
      </c>
      <c r="F369" s="41">
        <v>0.13200000000000001</v>
      </c>
      <c r="G369" s="41">
        <v>0.1202</v>
      </c>
      <c r="H369" s="40">
        <v>1.8800000000000001E-2</v>
      </c>
      <c r="I369" s="11">
        <v>0</v>
      </c>
      <c r="J369" s="2">
        <v>5.2299999999999999E-2</v>
      </c>
      <c r="K369" s="9">
        <v>50078</v>
      </c>
      <c r="L369" s="1" t="s">
        <v>235</v>
      </c>
      <c r="M369" s="9">
        <v>126100</v>
      </c>
      <c r="N369" s="8">
        <v>0.39960000000000001</v>
      </c>
    </row>
    <row r="370" spans="1:14">
      <c r="A370" s="65" t="s">
        <v>763</v>
      </c>
      <c r="B370" s="17" t="s">
        <v>60</v>
      </c>
      <c r="C370" s="16">
        <v>0.439</v>
      </c>
      <c r="D370" s="16">
        <v>0.124</v>
      </c>
      <c r="E370" s="16">
        <v>9.9000000000000005E-2</v>
      </c>
      <c r="F370" s="16">
        <v>9.8000000000000004E-2</v>
      </c>
      <c r="G370" s="16">
        <v>0.125</v>
      </c>
      <c r="H370" s="16">
        <v>5.5E-2</v>
      </c>
      <c r="I370" s="2">
        <v>0</v>
      </c>
      <c r="J370" s="2">
        <v>0.06</v>
      </c>
      <c r="K370" s="13">
        <v>30319</v>
      </c>
      <c r="L370" s="3" t="s">
        <v>21</v>
      </c>
      <c r="M370" s="14">
        <v>87843</v>
      </c>
      <c r="N370" s="15">
        <v>0.34499999999999997</v>
      </c>
    </row>
    <row r="371" spans="1:14">
      <c r="A371" s="65" t="s">
        <v>764</v>
      </c>
      <c r="B371" s="26" t="s">
        <v>154</v>
      </c>
      <c r="C371" s="2">
        <v>0.46</v>
      </c>
      <c r="D371" s="2">
        <v>0.152</v>
      </c>
      <c r="E371" s="2">
        <v>7.5999999999999998E-2</v>
      </c>
      <c r="F371" s="2">
        <v>0.107</v>
      </c>
      <c r="G371" s="2">
        <v>0.10199999999999999</v>
      </c>
      <c r="H371" s="2">
        <v>5.8000000000000003E-2</v>
      </c>
      <c r="I371" s="2">
        <v>0</v>
      </c>
      <c r="J371" s="2">
        <v>4.4999999999999998E-2</v>
      </c>
      <c r="K371" s="3">
        <v>24434</v>
      </c>
      <c r="L371" s="6" t="s">
        <v>124</v>
      </c>
      <c r="M371" s="27">
        <v>75576</v>
      </c>
      <c r="N371" s="2">
        <f>K371/M371</f>
        <v>0.32330369429448502</v>
      </c>
    </row>
    <row r="372" spans="1:14" s="4" customFormat="1">
      <c r="A372" s="65" t="s">
        <v>765</v>
      </c>
      <c r="B372" s="5" t="s">
        <v>356</v>
      </c>
      <c r="C372" s="2">
        <v>0.33</v>
      </c>
      <c r="D372" s="2">
        <v>7.7899999999999997E-2</v>
      </c>
      <c r="E372" s="2">
        <v>9.1850000000000001E-2</v>
      </c>
      <c r="F372" s="2">
        <v>4.5699999999999998E-2</v>
      </c>
      <c r="G372" s="2">
        <v>5.62E-2</v>
      </c>
      <c r="H372" s="2">
        <v>3.2399999999999998E-2</v>
      </c>
      <c r="I372" s="53">
        <v>0.34720000000000001</v>
      </c>
      <c r="J372" s="2">
        <v>1.9E-2</v>
      </c>
      <c r="K372" s="54">
        <v>20576</v>
      </c>
      <c r="L372" s="5" t="s">
        <v>334</v>
      </c>
      <c r="M372" s="32">
        <v>50863</v>
      </c>
      <c r="N372" s="2">
        <v>0.40453767999999996</v>
      </c>
    </row>
    <row r="373" spans="1:14" s="10" customFormat="1">
      <c r="A373" s="65" t="s">
        <v>766</v>
      </c>
      <c r="B373" s="1" t="s">
        <v>82</v>
      </c>
      <c r="C373" s="2">
        <v>0.26700000000000002</v>
      </c>
      <c r="D373" s="2">
        <v>0.28499999999999998</v>
      </c>
      <c r="E373" s="2">
        <v>0.109</v>
      </c>
      <c r="F373" s="2">
        <v>0.19900000000000001</v>
      </c>
      <c r="G373" s="2">
        <v>5.8000000000000003E-2</v>
      </c>
      <c r="H373" s="2">
        <v>2.5000000000000001E-2</v>
      </c>
      <c r="I373" s="2">
        <v>0</v>
      </c>
      <c r="J373" s="2">
        <v>5.7000000000000002E-2</v>
      </c>
      <c r="K373" s="3">
        <v>57416</v>
      </c>
      <c r="L373" s="6" t="s">
        <v>61</v>
      </c>
      <c r="M373" s="21">
        <v>144331</v>
      </c>
      <c r="N373" s="2">
        <f>K373/M373</f>
        <v>0.39780781675454335</v>
      </c>
    </row>
  </sheetData>
  <sortState ref="A2:N132">
    <sortCondition ref="B2:B132"/>
  </sortState>
  <pageMargins left="0.7" right="0.7" top="0.75" bottom="0.75" header="0.3" footer="0.3"/>
  <pageSetup paperSize="9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A7A70-A903-46BC-9B2A-6462147FDC3C}">
  <dimension ref="A1:F75"/>
  <sheetViews>
    <sheetView tabSelected="1" topLeftCell="A44" workbookViewId="0">
      <selection activeCell="G64" sqref="G64"/>
    </sheetView>
  </sheetViews>
  <sheetFormatPr defaultColWidth="9.109375" defaultRowHeight="12"/>
  <cols>
    <col min="1" max="1" width="6.109375" style="20" customWidth="1"/>
    <col min="2" max="2" width="23.6640625" style="73" customWidth="1"/>
    <col min="3" max="16384" width="9.109375" style="73"/>
  </cols>
  <sheetData>
    <row r="1" spans="1:6" s="66" customFormat="1">
      <c r="A1" s="39" t="s">
        <v>768</v>
      </c>
      <c r="B1" s="74" t="s">
        <v>769</v>
      </c>
      <c r="C1" s="73" t="s">
        <v>770</v>
      </c>
      <c r="D1" s="73" t="s">
        <v>771</v>
      </c>
      <c r="E1" s="73" t="s">
        <v>869</v>
      </c>
      <c r="F1" s="73" t="s">
        <v>772</v>
      </c>
    </row>
    <row r="2" spans="1:6" s="68" customFormat="1" ht="10.199999999999999">
      <c r="A2" s="67">
        <v>3</v>
      </c>
      <c r="B2" s="68" t="s">
        <v>773</v>
      </c>
      <c r="C2" s="68" t="s">
        <v>774</v>
      </c>
      <c r="D2" s="68" t="s">
        <v>775</v>
      </c>
      <c r="E2" s="68" t="s">
        <v>870</v>
      </c>
      <c r="F2" s="68" t="s">
        <v>776</v>
      </c>
    </row>
    <row r="3" spans="1:6" s="68" customFormat="1" ht="10.199999999999999">
      <c r="A3" s="67">
        <v>5</v>
      </c>
      <c r="B3" s="68" t="s">
        <v>777</v>
      </c>
      <c r="C3" s="68" t="s">
        <v>774</v>
      </c>
      <c r="D3" s="68" t="s">
        <v>778</v>
      </c>
      <c r="E3" s="68" t="s">
        <v>871</v>
      </c>
      <c r="F3" s="68" t="s">
        <v>779</v>
      </c>
    </row>
    <row r="4" spans="1:6" s="68" customFormat="1" ht="10.199999999999999">
      <c r="A4" s="69">
        <v>3</v>
      </c>
      <c r="B4" s="70" t="s">
        <v>780</v>
      </c>
      <c r="C4" s="68" t="s">
        <v>781</v>
      </c>
      <c r="D4" s="68" t="s">
        <v>782</v>
      </c>
      <c r="E4" s="68" t="s">
        <v>872</v>
      </c>
      <c r="F4" s="70" t="s">
        <v>776</v>
      </c>
    </row>
    <row r="5" spans="1:6" s="68" customFormat="1" ht="10.199999999999999">
      <c r="A5" s="67">
        <v>1</v>
      </c>
      <c r="B5" s="68" t="s">
        <v>783</v>
      </c>
      <c r="C5" s="68" t="s">
        <v>774</v>
      </c>
      <c r="D5" s="68" t="s">
        <v>784</v>
      </c>
      <c r="E5" s="68" t="s">
        <v>871</v>
      </c>
      <c r="F5" s="68" t="s">
        <v>776</v>
      </c>
    </row>
    <row r="6" spans="1:6" s="68" customFormat="1" ht="10.199999999999999">
      <c r="A6" s="67">
        <v>2</v>
      </c>
      <c r="B6" s="68" t="s">
        <v>785</v>
      </c>
      <c r="C6" s="68" t="s">
        <v>781</v>
      </c>
      <c r="D6" s="68" t="s">
        <v>786</v>
      </c>
      <c r="E6" s="68" t="s">
        <v>872</v>
      </c>
      <c r="F6" s="68" t="s">
        <v>776</v>
      </c>
    </row>
    <row r="7" spans="1:6" s="68" customFormat="1" ht="10.199999999999999">
      <c r="A7" s="67">
        <v>3</v>
      </c>
      <c r="B7" s="68" t="s">
        <v>787</v>
      </c>
      <c r="C7" s="68" t="s">
        <v>788</v>
      </c>
      <c r="D7" s="68" t="s">
        <v>786</v>
      </c>
      <c r="E7" s="68" t="s">
        <v>871</v>
      </c>
      <c r="F7" s="68" t="s">
        <v>779</v>
      </c>
    </row>
    <row r="8" spans="1:6" s="68" customFormat="1" ht="10.199999999999999">
      <c r="A8" s="67">
        <v>1</v>
      </c>
      <c r="B8" s="68" t="s">
        <v>789</v>
      </c>
      <c r="C8" s="68" t="s">
        <v>774</v>
      </c>
      <c r="D8" s="68" t="s">
        <v>790</v>
      </c>
      <c r="E8" s="68" t="s">
        <v>871</v>
      </c>
      <c r="F8" s="68" t="s">
        <v>776</v>
      </c>
    </row>
    <row r="9" spans="1:6" s="68" customFormat="1" ht="10.199999999999999">
      <c r="A9" s="67">
        <v>5</v>
      </c>
      <c r="B9" s="68" t="s">
        <v>791</v>
      </c>
      <c r="C9" s="68" t="s">
        <v>792</v>
      </c>
      <c r="D9" s="68" t="s">
        <v>786</v>
      </c>
      <c r="E9" s="68" t="s">
        <v>871</v>
      </c>
      <c r="F9" s="68" t="s">
        <v>776</v>
      </c>
    </row>
    <row r="10" spans="1:6" s="68" customFormat="1" ht="10.199999999999999">
      <c r="A10" s="67">
        <v>6</v>
      </c>
      <c r="B10" s="68" t="s">
        <v>793</v>
      </c>
      <c r="C10" s="68" t="s">
        <v>781</v>
      </c>
      <c r="D10" s="68" t="s">
        <v>786</v>
      </c>
      <c r="E10" s="68" t="s">
        <v>872</v>
      </c>
      <c r="F10" s="68" t="s">
        <v>776</v>
      </c>
    </row>
    <row r="11" spans="1:6" s="68" customFormat="1" ht="10.199999999999999">
      <c r="A11" s="67">
        <v>8</v>
      </c>
      <c r="B11" s="68" t="s">
        <v>794</v>
      </c>
      <c r="C11" s="68" t="s">
        <v>774</v>
      </c>
      <c r="D11" s="68" t="s">
        <v>775</v>
      </c>
      <c r="E11" s="68" t="s">
        <v>871</v>
      </c>
      <c r="F11" s="68" t="s">
        <v>776</v>
      </c>
    </row>
    <row r="12" spans="1:6" s="68" customFormat="1" ht="10.199999999999999">
      <c r="A12" s="67">
        <v>8</v>
      </c>
      <c r="B12" s="68" t="s">
        <v>795</v>
      </c>
      <c r="C12" s="68" t="s">
        <v>788</v>
      </c>
      <c r="D12" s="68" t="s">
        <v>786</v>
      </c>
      <c r="E12" s="68" t="s">
        <v>871</v>
      </c>
      <c r="F12" s="68" t="s">
        <v>776</v>
      </c>
    </row>
    <row r="13" spans="1:6" s="68" customFormat="1" ht="10.199999999999999">
      <c r="A13" s="67">
        <v>3</v>
      </c>
      <c r="B13" s="68" t="s">
        <v>796</v>
      </c>
      <c r="C13" s="68" t="s">
        <v>774</v>
      </c>
      <c r="D13" s="68" t="s">
        <v>797</v>
      </c>
      <c r="E13" s="68" t="s">
        <v>871</v>
      </c>
      <c r="F13" s="68" t="s">
        <v>779</v>
      </c>
    </row>
    <row r="14" spans="1:6" s="68" customFormat="1" ht="10.199999999999999">
      <c r="A14" s="67">
        <v>1</v>
      </c>
      <c r="B14" s="68" t="s">
        <v>798</v>
      </c>
      <c r="C14" s="68" t="s">
        <v>774</v>
      </c>
      <c r="D14" s="68" t="s">
        <v>782</v>
      </c>
      <c r="E14" s="68" t="s">
        <v>871</v>
      </c>
      <c r="F14" s="68" t="s">
        <v>779</v>
      </c>
    </row>
    <row r="15" spans="1:6" s="68" customFormat="1" ht="10.199999999999999">
      <c r="A15" s="67">
        <v>3</v>
      </c>
      <c r="B15" s="68" t="s">
        <v>799</v>
      </c>
      <c r="C15" s="68" t="s">
        <v>781</v>
      </c>
      <c r="D15" s="68" t="s">
        <v>800</v>
      </c>
      <c r="E15" s="68" t="s">
        <v>872</v>
      </c>
      <c r="F15" s="68" t="s">
        <v>779</v>
      </c>
    </row>
    <row r="16" spans="1:6" s="68" customFormat="1" ht="10.199999999999999">
      <c r="A16" s="67">
        <v>4</v>
      </c>
      <c r="B16" s="68" t="s">
        <v>801</v>
      </c>
      <c r="C16" s="68" t="s">
        <v>788</v>
      </c>
      <c r="D16" s="68" t="s">
        <v>800</v>
      </c>
      <c r="E16" s="68" t="s">
        <v>871</v>
      </c>
      <c r="F16" s="68" t="s">
        <v>779</v>
      </c>
    </row>
    <row r="17" spans="1:6" s="68" customFormat="1" ht="10.199999999999999">
      <c r="A17" s="67">
        <v>5</v>
      </c>
      <c r="B17" s="68" t="s">
        <v>802</v>
      </c>
      <c r="C17" s="68" t="s">
        <v>792</v>
      </c>
      <c r="D17" s="68" t="s">
        <v>800</v>
      </c>
      <c r="E17" s="68" t="s">
        <v>871</v>
      </c>
      <c r="F17" s="68" t="s">
        <v>779</v>
      </c>
    </row>
    <row r="18" spans="1:6" s="68" customFormat="1" ht="10.199999999999999">
      <c r="A18" s="67">
        <v>5</v>
      </c>
      <c r="B18" s="68" t="s">
        <v>803</v>
      </c>
      <c r="C18" s="68" t="s">
        <v>774</v>
      </c>
      <c r="D18" s="68" t="s">
        <v>784</v>
      </c>
      <c r="E18" s="68" t="s">
        <v>871</v>
      </c>
      <c r="F18" s="68" t="s">
        <v>776</v>
      </c>
    </row>
    <row r="19" spans="1:6" s="68" customFormat="1" ht="10.199999999999999">
      <c r="A19" s="67">
        <v>1</v>
      </c>
      <c r="B19" s="68" t="s">
        <v>804</v>
      </c>
      <c r="C19" s="68" t="s">
        <v>774</v>
      </c>
      <c r="D19" s="68" t="s">
        <v>786</v>
      </c>
      <c r="E19" s="68" t="s">
        <v>871</v>
      </c>
      <c r="F19" s="68" t="s">
        <v>776</v>
      </c>
    </row>
    <row r="20" spans="1:6" s="68" customFormat="1" ht="10.199999999999999">
      <c r="A20" s="67">
        <v>7</v>
      </c>
      <c r="B20" s="68" t="s">
        <v>805</v>
      </c>
      <c r="C20" s="68" t="s">
        <v>774</v>
      </c>
      <c r="D20" s="68" t="s">
        <v>786</v>
      </c>
      <c r="E20" s="68" t="s">
        <v>871</v>
      </c>
      <c r="F20" s="68" t="s">
        <v>779</v>
      </c>
    </row>
    <row r="21" spans="1:6" s="68" customFormat="1" ht="10.199999999999999">
      <c r="A21" s="67">
        <v>3</v>
      </c>
      <c r="B21" s="68" t="s">
        <v>806</v>
      </c>
      <c r="C21" s="68" t="s">
        <v>788</v>
      </c>
      <c r="D21" s="68" t="s">
        <v>790</v>
      </c>
      <c r="E21" s="68" t="s">
        <v>871</v>
      </c>
      <c r="F21" s="68" t="s">
        <v>779</v>
      </c>
    </row>
    <row r="22" spans="1:6" s="68" customFormat="1" ht="10.199999999999999">
      <c r="A22" s="67">
        <v>4</v>
      </c>
      <c r="B22" s="68" t="s">
        <v>807</v>
      </c>
      <c r="C22" s="68" t="s">
        <v>781</v>
      </c>
      <c r="D22" s="68" t="s">
        <v>790</v>
      </c>
      <c r="E22" s="68" t="s">
        <v>872</v>
      </c>
      <c r="F22" s="68" t="s">
        <v>779</v>
      </c>
    </row>
    <row r="23" spans="1:6" s="68" customFormat="1" ht="10.199999999999999">
      <c r="A23" s="67">
        <v>4</v>
      </c>
      <c r="B23" s="68" t="s">
        <v>808</v>
      </c>
      <c r="C23" s="68" t="s">
        <v>774</v>
      </c>
      <c r="D23" s="68" t="s">
        <v>786</v>
      </c>
      <c r="E23" s="68" t="s">
        <v>871</v>
      </c>
      <c r="F23" s="68" t="s">
        <v>779</v>
      </c>
    </row>
    <row r="24" spans="1:6" s="68" customFormat="1" ht="10.199999999999999">
      <c r="A24" s="67">
        <v>6</v>
      </c>
      <c r="B24" s="68" t="s">
        <v>809</v>
      </c>
      <c r="C24" s="68" t="s">
        <v>774</v>
      </c>
      <c r="D24" s="68" t="s">
        <v>800</v>
      </c>
      <c r="E24" s="68" t="s">
        <v>871</v>
      </c>
      <c r="F24" s="68" t="s">
        <v>779</v>
      </c>
    </row>
    <row r="25" spans="1:6" s="68" customFormat="1" ht="10.199999999999999">
      <c r="A25" s="67">
        <v>3</v>
      </c>
      <c r="B25" s="68" t="s">
        <v>810</v>
      </c>
      <c r="C25" s="68" t="s">
        <v>774</v>
      </c>
      <c r="D25" s="68" t="s">
        <v>784</v>
      </c>
      <c r="E25" s="68" t="s">
        <v>871</v>
      </c>
      <c r="F25" s="68" t="s">
        <v>779</v>
      </c>
    </row>
    <row r="26" spans="1:6" s="68" customFormat="1" ht="10.199999999999999">
      <c r="A26" s="67">
        <v>3</v>
      </c>
      <c r="B26" s="68" t="s">
        <v>811</v>
      </c>
      <c r="C26" s="68" t="s">
        <v>781</v>
      </c>
      <c r="D26" s="68" t="s">
        <v>778</v>
      </c>
      <c r="E26" s="68" t="s">
        <v>872</v>
      </c>
      <c r="F26" s="68" t="s">
        <v>776</v>
      </c>
    </row>
    <row r="27" spans="1:6" s="68" customFormat="1" ht="10.199999999999999">
      <c r="A27" s="67">
        <v>4</v>
      </c>
      <c r="B27" s="68" t="s">
        <v>812</v>
      </c>
      <c r="C27" s="68" t="s">
        <v>788</v>
      </c>
      <c r="D27" s="68" t="s">
        <v>778</v>
      </c>
      <c r="E27" s="68" t="s">
        <v>871</v>
      </c>
      <c r="F27" s="68" t="s">
        <v>779</v>
      </c>
    </row>
    <row r="28" spans="1:6" s="68" customFormat="1" ht="10.199999999999999">
      <c r="A28" s="67">
        <v>3</v>
      </c>
      <c r="B28" s="68" t="s">
        <v>813</v>
      </c>
      <c r="C28" s="68" t="s">
        <v>774</v>
      </c>
      <c r="D28" s="68" t="s">
        <v>814</v>
      </c>
      <c r="E28" s="68" t="s">
        <v>871</v>
      </c>
      <c r="F28" s="68" t="s">
        <v>779</v>
      </c>
    </row>
    <row r="29" spans="1:6" s="68" customFormat="1" ht="10.199999999999999">
      <c r="A29" s="67">
        <v>6</v>
      </c>
      <c r="B29" s="68" t="s">
        <v>815</v>
      </c>
      <c r="C29" s="68" t="s">
        <v>792</v>
      </c>
      <c r="D29" s="68" t="s">
        <v>778</v>
      </c>
      <c r="E29" s="68" t="s">
        <v>871</v>
      </c>
      <c r="F29" s="68" t="s">
        <v>776</v>
      </c>
    </row>
    <row r="30" spans="1:6" s="68" customFormat="1" ht="10.199999999999999">
      <c r="A30" s="67">
        <v>7</v>
      </c>
      <c r="B30" s="68" t="s">
        <v>816</v>
      </c>
      <c r="C30" s="68" t="s">
        <v>817</v>
      </c>
      <c r="D30" s="68" t="s">
        <v>778</v>
      </c>
      <c r="E30" s="68" t="s">
        <v>872</v>
      </c>
      <c r="F30" s="68" t="s">
        <v>776</v>
      </c>
    </row>
    <row r="31" spans="1:6" s="68" customFormat="1" ht="10.199999999999999">
      <c r="A31" s="67">
        <v>1</v>
      </c>
      <c r="B31" s="68" t="s">
        <v>818</v>
      </c>
      <c r="C31" s="68" t="s">
        <v>774</v>
      </c>
      <c r="D31" s="68" t="s">
        <v>800</v>
      </c>
      <c r="E31" s="68" t="s">
        <v>871</v>
      </c>
      <c r="F31" s="68" t="s">
        <v>779</v>
      </c>
    </row>
    <row r="32" spans="1:6" s="68" customFormat="1" ht="10.199999999999999">
      <c r="A32" s="67">
        <v>2</v>
      </c>
      <c r="B32" s="68" t="s">
        <v>819</v>
      </c>
      <c r="C32" s="68" t="s">
        <v>788</v>
      </c>
      <c r="D32" s="68" t="s">
        <v>820</v>
      </c>
      <c r="E32" s="68" t="s">
        <v>871</v>
      </c>
      <c r="F32" s="68" t="s">
        <v>776</v>
      </c>
    </row>
    <row r="33" spans="1:6" s="68" customFormat="1" ht="10.199999999999999">
      <c r="A33" s="67">
        <v>2</v>
      </c>
      <c r="B33" s="68" t="s">
        <v>821</v>
      </c>
      <c r="C33" s="68" t="s">
        <v>774</v>
      </c>
      <c r="D33" s="68" t="s">
        <v>782</v>
      </c>
      <c r="E33" s="68" t="s">
        <v>871</v>
      </c>
      <c r="F33" s="68" t="s">
        <v>779</v>
      </c>
    </row>
    <row r="34" spans="1:6" s="68" customFormat="1" ht="10.199999999999999">
      <c r="A34" s="67">
        <v>4</v>
      </c>
      <c r="B34" s="68" t="s">
        <v>822</v>
      </c>
      <c r="C34" s="68" t="s">
        <v>792</v>
      </c>
      <c r="D34" s="68" t="s">
        <v>820</v>
      </c>
      <c r="E34" s="68" t="s">
        <v>871</v>
      </c>
      <c r="F34" s="68" t="s">
        <v>776</v>
      </c>
    </row>
    <row r="35" spans="1:6" s="68" customFormat="1" ht="10.199999999999999">
      <c r="A35" s="67">
        <v>2</v>
      </c>
      <c r="B35" s="68" t="s">
        <v>823</v>
      </c>
      <c r="C35" s="68" t="s">
        <v>774</v>
      </c>
      <c r="D35" s="68" t="s">
        <v>790</v>
      </c>
      <c r="E35" s="68" t="s">
        <v>872</v>
      </c>
      <c r="F35" s="68" t="s">
        <v>779</v>
      </c>
    </row>
    <row r="36" spans="1:6" s="68" customFormat="1" ht="10.199999999999999">
      <c r="A36" s="67">
        <v>6</v>
      </c>
      <c r="B36" s="68" t="s">
        <v>824</v>
      </c>
      <c r="C36" s="68" t="s">
        <v>788</v>
      </c>
      <c r="D36" s="68" t="s">
        <v>820</v>
      </c>
      <c r="E36" s="68" t="s">
        <v>871</v>
      </c>
      <c r="F36" s="68" t="s">
        <v>776</v>
      </c>
    </row>
    <row r="37" spans="1:6" s="68" customFormat="1" ht="10.199999999999999">
      <c r="A37" s="67">
        <v>7</v>
      </c>
      <c r="B37" s="68" t="s">
        <v>825</v>
      </c>
      <c r="C37" s="68" t="s">
        <v>817</v>
      </c>
      <c r="D37" s="68" t="s">
        <v>820</v>
      </c>
      <c r="E37" s="68" t="s">
        <v>872</v>
      </c>
      <c r="F37" s="68" t="s">
        <v>779</v>
      </c>
    </row>
    <row r="38" spans="1:6" s="68" customFormat="1" ht="10.199999999999999">
      <c r="A38" s="67">
        <v>1</v>
      </c>
      <c r="B38" s="68" t="s">
        <v>826</v>
      </c>
      <c r="C38" s="68" t="s">
        <v>788</v>
      </c>
      <c r="D38" s="68" t="s">
        <v>797</v>
      </c>
      <c r="E38" s="68" t="s">
        <v>871</v>
      </c>
      <c r="F38" s="68" t="s">
        <v>776</v>
      </c>
    </row>
    <row r="39" spans="1:6" s="68" customFormat="1" ht="10.199999999999999">
      <c r="A39" s="67">
        <v>2</v>
      </c>
      <c r="B39" s="68" t="s">
        <v>827</v>
      </c>
      <c r="C39" s="68" t="s">
        <v>781</v>
      </c>
      <c r="D39" s="68" t="s">
        <v>797</v>
      </c>
      <c r="E39" s="68" t="s">
        <v>872</v>
      </c>
      <c r="F39" s="68" t="s">
        <v>779</v>
      </c>
    </row>
    <row r="40" spans="1:6" s="68" customFormat="1" ht="10.199999999999999">
      <c r="A40" s="67">
        <v>5</v>
      </c>
      <c r="B40" s="68" t="s">
        <v>828</v>
      </c>
      <c r="C40" s="68" t="s">
        <v>774</v>
      </c>
      <c r="D40" s="68" t="s">
        <v>820</v>
      </c>
      <c r="E40" s="68" t="s">
        <v>871</v>
      </c>
      <c r="F40" s="68" t="s">
        <v>776</v>
      </c>
    </row>
    <row r="41" spans="1:6" s="68" customFormat="1" ht="10.199999999999999">
      <c r="A41" s="67">
        <v>4</v>
      </c>
      <c r="B41" s="68" t="s">
        <v>829</v>
      </c>
      <c r="C41" s="68" t="s">
        <v>788</v>
      </c>
      <c r="D41" s="68" t="s">
        <v>797</v>
      </c>
      <c r="E41" s="68" t="s">
        <v>871</v>
      </c>
      <c r="F41" s="68" t="s">
        <v>779</v>
      </c>
    </row>
    <row r="42" spans="1:6" s="68" customFormat="1" ht="10.199999999999999">
      <c r="A42" s="67">
        <v>5</v>
      </c>
      <c r="B42" s="68" t="s">
        <v>830</v>
      </c>
      <c r="C42" s="68" t="s">
        <v>792</v>
      </c>
      <c r="D42" s="68" t="s">
        <v>797</v>
      </c>
      <c r="E42" s="68" t="s">
        <v>871</v>
      </c>
      <c r="F42" s="68" t="s">
        <v>779</v>
      </c>
    </row>
    <row r="43" spans="1:6" s="68" customFormat="1" ht="10.199999999999999">
      <c r="A43" s="67">
        <v>6</v>
      </c>
      <c r="B43" s="68" t="s">
        <v>831</v>
      </c>
      <c r="C43" s="68" t="s">
        <v>781</v>
      </c>
      <c r="D43" s="68" t="s">
        <v>797</v>
      </c>
      <c r="E43" s="68" t="s">
        <v>872</v>
      </c>
      <c r="F43" s="68" t="s">
        <v>779</v>
      </c>
    </row>
    <row r="44" spans="1:6" s="68" customFormat="1" ht="10.199999999999999">
      <c r="A44" s="67">
        <v>7</v>
      </c>
      <c r="B44" s="68" t="s">
        <v>832</v>
      </c>
      <c r="C44" s="68" t="s">
        <v>788</v>
      </c>
      <c r="D44" s="68" t="s">
        <v>797</v>
      </c>
      <c r="E44" s="68" t="s">
        <v>871</v>
      </c>
      <c r="F44" s="68" t="s">
        <v>776</v>
      </c>
    </row>
    <row r="45" spans="1:6" s="68" customFormat="1" ht="10.199999999999999">
      <c r="A45" s="67">
        <v>8</v>
      </c>
      <c r="B45" s="68" t="s">
        <v>833</v>
      </c>
      <c r="C45" s="68" t="s">
        <v>774</v>
      </c>
      <c r="D45" s="68" t="s">
        <v>797</v>
      </c>
      <c r="E45" s="68" t="s">
        <v>871</v>
      </c>
      <c r="F45" s="68" t="s">
        <v>779</v>
      </c>
    </row>
    <row r="46" spans="1:6" s="68" customFormat="1" ht="10.199999999999999">
      <c r="A46" s="67">
        <v>3</v>
      </c>
      <c r="B46" s="68" t="s">
        <v>834</v>
      </c>
      <c r="C46" s="68" t="s">
        <v>774</v>
      </c>
      <c r="D46" s="68" t="s">
        <v>835</v>
      </c>
      <c r="E46" s="68" t="s">
        <v>871</v>
      </c>
      <c r="F46" s="68" t="s">
        <v>779</v>
      </c>
    </row>
    <row r="47" spans="1:6" s="68" customFormat="1" ht="10.199999999999999">
      <c r="A47" s="67">
        <v>2</v>
      </c>
      <c r="B47" s="68" t="s">
        <v>836</v>
      </c>
      <c r="C47" s="68" t="s">
        <v>788</v>
      </c>
      <c r="D47" s="68" t="s">
        <v>775</v>
      </c>
      <c r="E47" s="68" t="s">
        <v>872</v>
      </c>
      <c r="F47" s="68" t="s">
        <v>776</v>
      </c>
    </row>
    <row r="48" spans="1:6" s="68" customFormat="1" ht="10.199999999999999">
      <c r="A48" s="67">
        <v>2</v>
      </c>
      <c r="B48" s="68" t="s">
        <v>837</v>
      </c>
      <c r="C48" s="68" t="s">
        <v>774</v>
      </c>
      <c r="D48" s="68" t="s">
        <v>800</v>
      </c>
      <c r="E48" s="68" t="s">
        <v>871</v>
      </c>
      <c r="F48" s="68" t="s">
        <v>776</v>
      </c>
    </row>
    <row r="49" spans="1:6" s="68" customFormat="1" ht="10.199999999999999">
      <c r="A49" s="67">
        <v>4</v>
      </c>
      <c r="B49" s="68" t="s">
        <v>773</v>
      </c>
      <c r="C49" s="68" t="s">
        <v>792</v>
      </c>
      <c r="D49" s="68" t="s">
        <v>775</v>
      </c>
      <c r="E49" s="68" t="s">
        <v>871</v>
      </c>
      <c r="F49" s="68" t="s">
        <v>776</v>
      </c>
    </row>
    <row r="50" spans="1:6" s="68" customFormat="1" ht="10.199999999999999">
      <c r="A50" s="67">
        <v>5</v>
      </c>
      <c r="B50" s="68" t="s">
        <v>838</v>
      </c>
      <c r="C50" s="68" t="s">
        <v>788</v>
      </c>
      <c r="D50" s="68" t="s">
        <v>775</v>
      </c>
      <c r="E50" s="68" t="s">
        <v>871</v>
      </c>
      <c r="F50" s="68" t="s">
        <v>779</v>
      </c>
    </row>
    <row r="51" spans="1:6" s="68" customFormat="1" ht="10.199999999999999">
      <c r="A51" s="67">
        <v>2</v>
      </c>
      <c r="B51" s="68" t="s">
        <v>839</v>
      </c>
      <c r="C51" s="68" t="s">
        <v>774</v>
      </c>
      <c r="D51" s="68" t="s">
        <v>778</v>
      </c>
      <c r="E51" s="68" t="s">
        <v>871</v>
      </c>
      <c r="F51" s="68" t="s">
        <v>779</v>
      </c>
    </row>
    <row r="52" spans="1:6" s="68" customFormat="1" ht="10.199999999999999">
      <c r="A52" s="67">
        <v>7</v>
      </c>
      <c r="B52" s="68" t="s">
        <v>840</v>
      </c>
      <c r="C52" s="68" t="s">
        <v>817</v>
      </c>
      <c r="D52" s="68" t="s">
        <v>775</v>
      </c>
      <c r="E52" s="68" t="s">
        <v>872</v>
      </c>
      <c r="F52" s="68" t="s">
        <v>779</v>
      </c>
    </row>
    <row r="53" spans="1:6" s="68" customFormat="1" ht="10.199999999999999">
      <c r="A53" s="67">
        <v>5</v>
      </c>
      <c r="B53" s="68" t="s">
        <v>841</v>
      </c>
      <c r="C53" s="68" t="s">
        <v>774</v>
      </c>
      <c r="D53" s="68" t="s">
        <v>790</v>
      </c>
      <c r="E53" s="68" t="s">
        <v>871</v>
      </c>
      <c r="F53" s="68" t="s">
        <v>779</v>
      </c>
    </row>
    <row r="54" spans="1:6" s="68" customFormat="1" ht="10.199999999999999">
      <c r="A54" s="67">
        <v>9</v>
      </c>
      <c r="B54" s="68" t="s">
        <v>842</v>
      </c>
      <c r="C54" s="68" t="s">
        <v>788</v>
      </c>
      <c r="D54" s="68" t="s">
        <v>775</v>
      </c>
      <c r="E54" s="68" t="s">
        <v>871</v>
      </c>
      <c r="F54" s="68" t="s">
        <v>776</v>
      </c>
    </row>
    <row r="55" spans="1:6" s="68" customFormat="1" ht="10.199999999999999">
      <c r="A55" s="67">
        <v>10</v>
      </c>
      <c r="B55" s="68" t="s">
        <v>843</v>
      </c>
      <c r="C55" s="68" t="s">
        <v>781</v>
      </c>
      <c r="D55" s="68" t="s">
        <v>775</v>
      </c>
      <c r="E55" s="68" t="s">
        <v>872</v>
      </c>
      <c r="F55" s="68" t="s">
        <v>779</v>
      </c>
    </row>
    <row r="56" spans="1:6" s="68" customFormat="1" ht="10.199999999999999">
      <c r="A56" s="67">
        <v>3</v>
      </c>
      <c r="B56" s="68" t="s">
        <v>844</v>
      </c>
      <c r="C56" s="68" t="s">
        <v>774</v>
      </c>
      <c r="D56" s="68" t="s">
        <v>820</v>
      </c>
      <c r="E56" s="68" t="s">
        <v>871</v>
      </c>
      <c r="F56" s="68" t="s">
        <v>779</v>
      </c>
    </row>
    <row r="57" spans="1:6" s="68" customFormat="1" ht="10.199999999999999">
      <c r="A57" s="67">
        <v>2</v>
      </c>
      <c r="B57" s="68" t="s">
        <v>845</v>
      </c>
      <c r="C57" s="68" t="s">
        <v>788</v>
      </c>
      <c r="D57" s="68" t="s">
        <v>784</v>
      </c>
      <c r="E57" s="68" t="s">
        <v>871</v>
      </c>
      <c r="F57" s="68" t="s">
        <v>776</v>
      </c>
    </row>
    <row r="58" spans="1:6" s="68" customFormat="1" ht="10.199999999999999">
      <c r="A58" s="67">
        <v>1</v>
      </c>
      <c r="B58" s="68" t="s">
        <v>846</v>
      </c>
      <c r="C58" s="68" t="s">
        <v>774</v>
      </c>
      <c r="D58" s="68" t="s">
        <v>814</v>
      </c>
      <c r="E58" s="68" t="s">
        <v>872</v>
      </c>
      <c r="F58" s="68" t="s">
        <v>779</v>
      </c>
    </row>
    <row r="59" spans="1:6" s="68" customFormat="1" ht="10.199999999999999">
      <c r="A59" s="67">
        <v>4</v>
      </c>
      <c r="B59" s="68" t="s">
        <v>847</v>
      </c>
      <c r="C59" s="68" t="s">
        <v>792</v>
      </c>
      <c r="D59" s="68" t="s">
        <v>784</v>
      </c>
      <c r="E59" s="68" t="s">
        <v>872</v>
      </c>
      <c r="F59" s="68" t="s">
        <v>776</v>
      </c>
    </row>
    <row r="60" spans="1:6" s="68" customFormat="1" ht="10.199999999999999">
      <c r="A60" s="67">
        <v>1</v>
      </c>
      <c r="B60" s="68" t="s">
        <v>848</v>
      </c>
      <c r="C60" s="68" t="s">
        <v>774</v>
      </c>
      <c r="D60" s="68" t="s">
        <v>775</v>
      </c>
      <c r="E60" s="68" t="s">
        <v>872</v>
      </c>
      <c r="F60" s="68" t="s">
        <v>779</v>
      </c>
    </row>
    <row r="61" spans="1:6" s="68" customFormat="1" ht="10.199999999999999">
      <c r="A61" s="67">
        <v>6</v>
      </c>
      <c r="B61" s="68" t="s">
        <v>849</v>
      </c>
      <c r="C61" s="68" t="s">
        <v>788</v>
      </c>
      <c r="D61" s="68" t="s">
        <v>784</v>
      </c>
      <c r="E61" s="68" t="s">
        <v>871</v>
      </c>
      <c r="F61" s="68" t="s">
        <v>779</v>
      </c>
    </row>
    <row r="62" spans="1:6" s="68" customFormat="1" ht="10.199999999999999">
      <c r="A62" s="67">
        <v>1</v>
      </c>
      <c r="B62" s="68" t="s">
        <v>850</v>
      </c>
      <c r="C62" s="68" t="s">
        <v>774</v>
      </c>
      <c r="D62" s="68" t="s">
        <v>820</v>
      </c>
      <c r="E62" s="68" t="s">
        <v>871</v>
      </c>
      <c r="F62" s="68" t="s">
        <v>779</v>
      </c>
    </row>
    <row r="63" spans="1:6" s="68" customFormat="1" ht="10.8" customHeight="1">
      <c r="A63" s="67">
        <v>2</v>
      </c>
      <c r="B63" s="68" t="s">
        <v>851</v>
      </c>
      <c r="C63" s="68" t="s">
        <v>852</v>
      </c>
      <c r="D63" s="68" t="s">
        <v>814</v>
      </c>
      <c r="E63" s="68" t="s">
        <v>872</v>
      </c>
      <c r="F63" s="68" t="s">
        <v>776</v>
      </c>
    </row>
    <row r="64" spans="1:6" s="68" customFormat="1" ht="10.199999999999999">
      <c r="A64" s="67">
        <v>6</v>
      </c>
      <c r="B64" s="68" t="s">
        <v>853</v>
      </c>
      <c r="C64" s="68" t="s">
        <v>774</v>
      </c>
      <c r="D64" s="68" t="s">
        <v>775</v>
      </c>
      <c r="E64" s="68" t="s">
        <v>871</v>
      </c>
      <c r="F64" s="68" t="s">
        <v>779</v>
      </c>
    </row>
    <row r="65" spans="1:6" s="68" customFormat="1" ht="10.8" customHeight="1">
      <c r="A65" s="67">
        <v>4</v>
      </c>
      <c r="B65" s="68" t="s">
        <v>854</v>
      </c>
      <c r="C65" s="68" t="s">
        <v>781</v>
      </c>
      <c r="D65" s="68" t="s">
        <v>814</v>
      </c>
      <c r="E65" s="68" t="s">
        <v>871</v>
      </c>
      <c r="F65" s="68" t="s">
        <v>776</v>
      </c>
    </row>
    <row r="66" spans="1:6" s="68" customFormat="1" ht="10.199999999999999">
      <c r="A66" s="67">
        <v>1</v>
      </c>
      <c r="B66" s="68" t="s">
        <v>855</v>
      </c>
      <c r="C66" s="68" t="s">
        <v>856</v>
      </c>
      <c r="D66" s="68" t="s">
        <v>835</v>
      </c>
      <c r="E66" s="68" t="s">
        <v>872</v>
      </c>
      <c r="F66" s="68" t="s">
        <v>779</v>
      </c>
    </row>
    <row r="67" spans="1:6" s="68" customFormat="1" ht="10.199999999999999">
      <c r="A67" s="67">
        <v>2</v>
      </c>
      <c r="B67" s="68" t="s">
        <v>857</v>
      </c>
      <c r="C67" s="68" t="s">
        <v>856</v>
      </c>
      <c r="D67" s="68" t="s">
        <v>835</v>
      </c>
      <c r="E67" s="68" t="s">
        <v>871</v>
      </c>
      <c r="F67" s="68" t="s">
        <v>779</v>
      </c>
    </row>
    <row r="68" spans="1:6" s="68" customFormat="1" ht="10.199999999999999">
      <c r="A68" s="67">
        <v>1</v>
      </c>
      <c r="B68" s="68" t="s">
        <v>858</v>
      </c>
      <c r="C68" s="68" t="s">
        <v>774</v>
      </c>
      <c r="D68" s="68" t="s">
        <v>778</v>
      </c>
      <c r="E68" s="68" t="s">
        <v>871</v>
      </c>
      <c r="F68" s="68" t="s">
        <v>779</v>
      </c>
    </row>
    <row r="69" spans="1:6" s="68" customFormat="1" ht="10.199999999999999">
      <c r="A69" s="67">
        <v>4</v>
      </c>
      <c r="B69" s="68" t="s">
        <v>859</v>
      </c>
      <c r="C69" s="68" t="s">
        <v>788</v>
      </c>
      <c r="D69" s="68" t="s">
        <v>835</v>
      </c>
      <c r="E69" s="68" t="s">
        <v>871</v>
      </c>
      <c r="F69" s="68" t="s">
        <v>776</v>
      </c>
    </row>
    <row r="70" spans="1:6" s="68" customFormat="1" ht="10.199999999999999">
      <c r="A70" s="67">
        <v>5</v>
      </c>
      <c r="B70" s="68" t="s">
        <v>860</v>
      </c>
      <c r="C70" s="68" t="s">
        <v>856</v>
      </c>
      <c r="D70" s="68" t="s">
        <v>835</v>
      </c>
      <c r="E70" s="68" t="s">
        <v>871</v>
      </c>
      <c r="F70" s="68" t="s">
        <v>776</v>
      </c>
    </row>
    <row r="71" spans="1:6" s="68" customFormat="1" ht="10.199999999999999">
      <c r="A71" s="67">
        <v>6</v>
      </c>
      <c r="B71" s="68" t="s">
        <v>861</v>
      </c>
      <c r="C71" s="68" t="s">
        <v>817</v>
      </c>
      <c r="D71" s="68" t="s">
        <v>835</v>
      </c>
      <c r="E71" s="68" t="s">
        <v>872</v>
      </c>
      <c r="F71" s="68" t="s">
        <v>776</v>
      </c>
    </row>
    <row r="72" spans="1:6" s="68" customFormat="1" ht="10.8" customHeight="1">
      <c r="A72" s="67">
        <v>1</v>
      </c>
      <c r="B72" s="68" t="s">
        <v>862</v>
      </c>
      <c r="C72" s="68" t="s">
        <v>863</v>
      </c>
      <c r="D72" s="68" t="s">
        <v>864</v>
      </c>
      <c r="E72" s="68" t="s">
        <v>872</v>
      </c>
      <c r="F72" s="68" t="s">
        <v>776</v>
      </c>
    </row>
    <row r="73" spans="1:6" s="68" customFormat="1" ht="10.8" customHeight="1">
      <c r="A73" s="67">
        <v>2</v>
      </c>
      <c r="B73" s="68" t="s">
        <v>865</v>
      </c>
      <c r="C73" s="68" t="s">
        <v>866</v>
      </c>
      <c r="D73" s="68" t="s">
        <v>864</v>
      </c>
      <c r="E73" s="68" t="s">
        <v>871</v>
      </c>
      <c r="F73" s="68" t="s">
        <v>776</v>
      </c>
    </row>
    <row r="74" spans="1:6" s="68" customFormat="1" ht="10.8" customHeight="1">
      <c r="A74" s="67">
        <v>3</v>
      </c>
      <c r="B74" s="71" t="s">
        <v>867</v>
      </c>
      <c r="C74" s="68" t="s">
        <v>868</v>
      </c>
      <c r="D74" s="68" t="s">
        <v>864</v>
      </c>
      <c r="E74" s="68" t="s">
        <v>872</v>
      </c>
      <c r="F74" s="68" t="s">
        <v>776</v>
      </c>
    </row>
    <row r="75" spans="1:6" s="72" customFormat="1" ht="10.199999999999999">
      <c r="A75" s="75"/>
      <c r="B75" s="76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Vote share by LA</vt:lpstr>
      <vt:lpstr>UK MEPs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UBEROI, Elise</dc:creator>
  <cp:lastModifiedBy>UBEROI, Elise</cp:lastModifiedBy>
  <dcterms:created xsi:type="dcterms:W3CDTF">2019-06-03T09:50:09Z</dcterms:created>
  <dcterms:modified xsi:type="dcterms:W3CDTF">2019-06-11T13:21:34Z</dcterms:modified>
</cp:coreProperties>
</file>