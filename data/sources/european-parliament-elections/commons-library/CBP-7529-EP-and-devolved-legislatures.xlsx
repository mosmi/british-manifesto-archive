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S:\Publications\Standard Notes\Final - SGS\CBP07529 - UK Election Statistics\Version Dec 2022\datafiles\"/>
    </mc:Choice>
  </mc:AlternateContent>
  <xr:revisionPtr revIDLastSave="0" documentId="13_ncr:1_{A1DD1EB7-2B3A-4F1A-A878-D019335FAC7A}" xr6:coauthVersionLast="47" xr6:coauthVersionMax="47" xr10:uidLastSave="{00000000-0000-0000-0000-000000000000}"/>
  <bookViews>
    <workbookView xWindow="-108" yWindow="-108" windowWidth="23256" windowHeight="12576" xr2:uid="{F3D67E12-D9B3-459E-8627-C74DB09988DF}"/>
  </bookViews>
  <sheets>
    <sheet name="Contents" sheetId="12" r:id="rId1"/>
    <sheet name="1. EP-GB" sheetId="5" r:id="rId2"/>
    <sheet name="2. EP-NI" sheetId="6" r:id="rId3"/>
    <sheet name="3. SC (NAW)" sheetId="9" r:id="rId4"/>
    <sheet name="4. SP" sheetId="10" r:id="rId5"/>
    <sheet name="5. NIA" sheetId="11" r:id="rId6"/>
    <sheet name="Notes &amp; sources" sheetId="7" r:id="rId7"/>
    <sheet name="Party names" sheetId="1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0" i="9" l="1"/>
  <c r="B40" i="9"/>
  <c r="G34" i="9"/>
  <c r="F34" i="9"/>
  <c r="E34" i="9"/>
  <c r="E36" i="9" s="1"/>
  <c r="E40" i="9" s="1"/>
  <c r="D34" i="9"/>
  <c r="D36" i="9" s="1"/>
  <c r="D40" i="9" s="1"/>
  <c r="C34" i="9"/>
  <c r="C36" i="9" s="1"/>
  <c r="C40" i="9" s="1"/>
  <c r="B34" i="9"/>
  <c r="G28" i="9"/>
  <c r="F28" i="9"/>
  <c r="E28" i="9"/>
  <c r="D28" i="9"/>
  <c r="C28" i="9"/>
  <c r="B28" i="9"/>
  <c r="G22" i="9"/>
  <c r="F22" i="9"/>
  <c r="E22" i="9"/>
  <c r="D22" i="9"/>
  <c r="C22" i="9"/>
  <c r="G16" i="9"/>
  <c r="F16" i="9"/>
  <c r="E16" i="9"/>
  <c r="D16" i="9"/>
  <c r="C16" i="9"/>
  <c r="B16" i="9"/>
  <c r="G10" i="9"/>
  <c r="F10" i="9"/>
  <c r="E10" i="9"/>
  <c r="D10" i="9"/>
  <c r="C10" i="9"/>
  <c r="B10" i="9"/>
  <c r="G4" i="9"/>
  <c r="F4" i="9"/>
  <c r="E4" i="9"/>
  <c r="D4" i="9"/>
  <c r="C4" i="9"/>
  <c r="B4" i="9"/>
  <c r="AD3" i="5" l="1"/>
  <c r="AD4" i="5"/>
  <c r="AD5" i="5"/>
  <c r="AD6" i="5"/>
  <c r="AD7" i="5"/>
  <c r="AD8" i="5"/>
  <c r="AD9" i="5"/>
  <c r="AD10" i="5"/>
  <c r="AD11" i="5"/>
  <c r="R3" i="5"/>
  <c r="U3" i="5"/>
  <c r="O3" i="5"/>
  <c r="R5" i="6"/>
  <c r="R6" i="6"/>
  <c r="R7" i="6"/>
  <c r="R8" i="6"/>
  <c r="R9" i="6"/>
  <c r="R10" i="6"/>
  <c r="R11" i="6"/>
  <c r="R4" i="6"/>
  <c r="O5" i="6"/>
  <c r="O6" i="6"/>
  <c r="O7" i="6"/>
  <c r="O9" i="6"/>
  <c r="O10" i="6"/>
  <c r="O11" i="6"/>
  <c r="O4" i="6"/>
  <c r="L5" i="6"/>
  <c r="L6" i="6"/>
  <c r="L7" i="6"/>
  <c r="L8" i="6"/>
  <c r="L9" i="6"/>
  <c r="L10" i="6"/>
  <c r="L11" i="6"/>
  <c r="L4" i="6"/>
  <c r="I4" i="6"/>
  <c r="I5" i="6"/>
  <c r="I6" i="6"/>
  <c r="I7" i="6"/>
  <c r="I8" i="6"/>
  <c r="I9" i="6"/>
  <c r="I10" i="6"/>
  <c r="I11" i="6"/>
  <c r="I3" i="6"/>
  <c r="F4" i="6"/>
  <c r="F5" i="6"/>
  <c r="F6" i="6"/>
  <c r="F7" i="6"/>
  <c r="F8" i="6"/>
  <c r="F9" i="6"/>
  <c r="F10" i="6"/>
  <c r="F11" i="6"/>
  <c r="F3" i="6"/>
  <c r="C4" i="6"/>
  <c r="C5" i="6"/>
  <c r="C6" i="6"/>
  <c r="C7" i="6"/>
  <c r="C8" i="6"/>
  <c r="C9" i="6"/>
  <c r="C10" i="6"/>
  <c r="C11" i="6"/>
  <c r="C3" i="6"/>
  <c r="AA11" i="5"/>
  <c r="X8" i="5"/>
  <c r="X9" i="5"/>
  <c r="X10" i="5"/>
  <c r="X7" i="5"/>
  <c r="U4" i="5"/>
  <c r="U5" i="5"/>
  <c r="U6" i="5"/>
  <c r="U7" i="5"/>
  <c r="U8" i="5"/>
  <c r="U9" i="5"/>
  <c r="U10" i="5"/>
  <c r="U11" i="5"/>
  <c r="R4" i="5"/>
  <c r="R5" i="5"/>
  <c r="R6" i="5"/>
  <c r="R7" i="5"/>
  <c r="R8" i="5"/>
  <c r="R9" i="5"/>
  <c r="R10" i="5"/>
  <c r="R11" i="5"/>
  <c r="O4" i="5"/>
  <c r="O5" i="5"/>
  <c r="O6" i="5"/>
  <c r="O7" i="5"/>
  <c r="O8" i="5"/>
  <c r="O9" i="5"/>
  <c r="O10" i="5"/>
  <c r="O11" i="5"/>
  <c r="L7" i="5"/>
  <c r="L8" i="5"/>
  <c r="L9" i="5"/>
  <c r="L10" i="5"/>
  <c r="L11" i="5"/>
  <c r="L6" i="5"/>
  <c r="I4" i="5"/>
  <c r="I5" i="5"/>
  <c r="I6" i="5"/>
  <c r="I7" i="5"/>
  <c r="I8" i="5"/>
  <c r="I9" i="5"/>
  <c r="I10" i="5"/>
  <c r="I11" i="5"/>
  <c r="I3" i="5"/>
  <c r="F4" i="5"/>
  <c r="F5" i="5"/>
  <c r="F6" i="5"/>
  <c r="F7" i="5"/>
  <c r="F8" i="5"/>
  <c r="F9" i="5"/>
  <c r="F10" i="5"/>
  <c r="F11" i="5"/>
  <c r="F3" i="5"/>
  <c r="C4" i="5"/>
  <c r="C5" i="5"/>
  <c r="C6" i="5"/>
  <c r="C7" i="5"/>
  <c r="C8" i="5"/>
  <c r="C9" i="5"/>
  <c r="C10" i="5"/>
  <c r="C11" i="5"/>
  <c r="C3" i="5"/>
</calcChain>
</file>

<file path=xl/sharedStrings.xml><?xml version="1.0" encoding="utf-8"?>
<sst xmlns="http://schemas.openxmlformats.org/spreadsheetml/2006/main" count="275" uniqueCount="217">
  <si>
    <t>UKIP</t>
  </si>
  <si>
    <t>Plaid Cymru</t>
  </si>
  <si>
    <t>BNP</t>
  </si>
  <si>
    <t>Other</t>
  </si>
  <si>
    <t>Total</t>
  </si>
  <si>
    <t>Turnout</t>
  </si>
  <si>
    <t>DUP</t>
  </si>
  <si>
    <t>SDLP</t>
  </si>
  <si>
    <t>UUP</t>
  </si>
  <si>
    <t>DUP (%)</t>
  </si>
  <si>
    <t>SDLP (%)</t>
  </si>
  <si>
    <t>UUP (%)</t>
  </si>
  <si>
    <t>SF (%)</t>
  </si>
  <si>
    <t>SF</t>
  </si>
  <si>
    <t>Other (%)</t>
  </si>
  <si>
    <t>Turnout UK</t>
  </si>
  <si>
    <t>Con MEPs</t>
  </si>
  <si>
    <t>Lab MEPs</t>
  </si>
  <si>
    <t>LD MEPs</t>
  </si>
  <si>
    <t>UKIP MEPs</t>
  </si>
  <si>
    <t>SNP MEPs</t>
  </si>
  <si>
    <t>PC MEPs</t>
  </si>
  <si>
    <t>Total GB MEPs</t>
  </si>
  <si>
    <t>DUP MEPs</t>
  </si>
  <si>
    <t>SDLP MEPs</t>
  </si>
  <si>
    <t>UUP MEPs</t>
  </si>
  <si>
    <t>SF MEPs</t>
  </si>
  <si>
    <t>All MEPs</t>
  </si>
  <si>
    <t>Total NI MEPs</t>
  </si>
  <si>
    <t>Total UK MEPs</t>
  </si>
  <si>
    <t>Green MEPs</t>
  </si>
  <si>
    <t>BNP MEPs</t>
  </si>
  <si>
    <t>Brexit MEPs</t>
  </si>
  <si>
    <t>Election</t>
  </si>
  <si>
    <t>Total votes GB</t>
  </si>
  <si>
    <t>Turnout GB</t>
  </si>
  <si>
    <t>PC</t>
  </si>
  <si>
    <t>LD</t>
  </si>
  <si>
    <t>Lab constituency votes</t>
  </si>
  <si>
    <t>Lab constituency vote share</t>
  </si>
  <si>
    <t>PC constituency votes</t>
  </si>
  <si>
    <t>PC constituency vote share</t>
  </si>
  <si>
    <t>Con constituency votes</t>
  </si>
  <si>
    <t>Con constituency vote share</t>
  </si>
  <si>
    <t>UKIP constituency votes</t>
  </si>
  <si>
    <t>UKIP constituency vote share</t>
  </si>
  <si>
    <t>LD constituency votes</t>
  </si>
  <si>
    <t>LD constituency vote share</t>
  </si>
  <si>
    <t>Others constituency votes</t>
  </si>
  <si>
    <t>Others constituency vote share</t>
  </si>
  <si>
    <t>Lab constituency seats</t>
  </si>
  <si>
    <t>PC constituency seats</t>
  </si>
  <si>
    <t>Con constituency seats</t>
  </si>
  <si>
    <t>UKIP constituency seats</t>
  </si>
  <si>
    <t>LD constituency seats</t>
  </si>
  <si>
    <t>Others  constituency seats</t>
  </si>
  <si>
    <t>Total constituency votes</t>
  </si>
  <si>
    <t>Total constituency seats</t>
  </si>
  <si>
    <t>Lab regional votes</t>
  </si>
  <si>
    <t>Lab regional vote share</t>
  </si>
  <si>
    <t>Lab regional seats</t>
  </si>
  <si>
    <t>PC regional votes</t>
  </si>
  <si>
    <t>PC  regional vote share</t>
  </si>
  <si>
    <t>PC regional seats</t>
  </si>
  <si>
    <t>Con regional votes</t>
  </si>
  <si>
    <t>Con regional vote share</t>
  </si>
  <si>
    <t>Con regional seats</t>
  </si>
  <si>
    <t>UKIP regional votes</t>
  </si>
  <si>
    <t>UKIP regional vote share</t>
  </si>
  <si>
    <t>UKIP regional seats</t>
  </si>
  <si>
    <t>LD regional votes</t>
  </si>
  <si>
    <t>LD regional vote share</t>
  </si>
  <si>
    <t>LD regional seats</t>
  </si>
  <si>
    <t>Others regional votes</t>
  </si>
  <si>
    <t>Others regional vote share</t>
  </si>
  <si>
    <t>Others regional seats</t>
  </si>
  <si>
    <t>Total regional seats</t>
  </si>
  <si>
    <t>Total regional votes</t>
  </si>
  <si>
    <t>Senedd Cymru (formerly National Assembly for Wales) elections: votes and seats</t>
  </si>
  <si>
    <t>1999</t>
  </si>
  <si>
    <t>2003</t>
  </si>
  <si>
    <t>2007</t>
  </si>
  <si>
    <t>2011</t>
  </si>
  <si>
    <t>2016</t>
  </si>
  <si>
    <t>2021</t>
  </si>
  <si>
    <t>Result</t>
  </si>
  <si>
    <t>Constituency turnout</t>
  </si>
  <si>
    <t>Regional turnout</t>
  </si>
  <si>
    <t>SNP</t>
  </si>
  <si>
    <t>SNP constituency votes</t>
  </si>
  <si>
    <t>Green constituency votes</t>
  </si>
  <si>
    <t>SNP constituency seats</t>
  </si>
  <si>
    <t>Green constituency seats</t>
  </si>
  <si>
    <t>Others constituency seats</t>
  </si>
  <si>
    <t>SNP regional votes</t>
  </si>
  <si>
    <t>Green regional votes</t>
  </si>
  <si>
    <t>Total regional  votes</t>
  </si>
  <si>
    <t>SNP regional seats</t>
  </si>
  <si>
    <t>Green regional seats</t>
  </si>
  <si>
    <t>Total regional  seats</t>
  </si>
  <si>
    <t xml:space="preserve">SNP constituency vote share </t>
  </si>
  <si>
    <t>Green constituency vote share</t>
  </si>
  <si>
    <t>SNP regional vote share</t>
  </si>
  <si>
    <t>Green regional vote share</t>
  </si>
  <si>
    <t>Scottish Parliament elections: votes and seats</t>
  </si>
  <si>
    <t>Sinn Féin</t>
  </si>
  <si>
    <t>DUP votes</t>
  </si>
  <si>
    <t>Sinn Féin votes</t>
  </si>
  <si>
    <t>UUP votes</t>
  </si>
  <si>
    <t>SDLP votes</t>
  </si>
  <si>
    <t>Alliance votes</t>
  </si>
  <si>
    <t>UK Unionists votes</t>
  </si>
  <si>
    <t>PUP votes</t>
  </si>
  <si>
    <t>People before Profit Alliance votes</t>
  </si>
  <si>
    <t>TUV votes</t>
  </si>
  <si>
    <t>UKIP votes</t>
  </si>
  <si>
    <t>Green Party votes</t>
  </si>
  <si>
    <t>Others votes</t>
  </si>
  <si>
    <t>Total votes</t>
  </si>
  <si>
    <t>DUP seats</t>
  </si>
  <si>
    <t>Sinn Féin seats</t>
  </si>
  <si>
    <t>UUP seats</t>
  </si>
  <si>
    <t>SDLP seats</t>
  </si>
  <si>
    <t>Alliance seats</t>
  </si>
  <si>
    <t>UK Unionists seats</t>
  </si>
  <si>
    <t>PUP seats</t>
  </si>
  <si>
    <t>People before Profit Alliance seats</t>
  </si>
  <si>
    <t>TUV seats</t>
  </si>
  <si>
    <t>UKIP seats</t>
  </si>
  <si>
    <t>Green Party seats</t>
  </si>
  <si>
    <t xml:space="preserve"> Others seats</t>
  </si>
  <si>
    <t>Total seats</t>
  </si>
  <si>
    <t>DUP vote share</t>
  </si>
  <si>
    <t>Sinn Féin vote share</t>
  </si>
  <si>
    <t>UUP vote share</t>
  </si>
  <si>
    <t>SDLP vote share</t>
  </si>
  <si>
    <t>Alliance vote share</t>
  </si>
  <si>
    <t>UK Unionists vote share</t>
  </si>
  <si>
    <t>PUP vote share</t>
  </si>
  <si>
    <t>People before Profit Alliance vote share</t>
  </si>
  <si>
    <t>TUV vote share</t>
  </si>
  <si>
    <t>UKIP vote share</t>
  </si>
  <si>
    <t>Green Party vote share</t>
  </si>
  <si>
    <t>Others vote share</t>
  </si>
  <si>
    <t>Northern Ireland Assembly elections: first preference votes and seats</t>
  </si>
  <si>
    <t>1998</t>
  </si>
  <si>
    <t>2017</t>
  </si>
  <si>
    <t>2022</t>
  </si>
  <si>
    <t>Sources:</t>
  </si>
  <si>
    <t>Electoral Office for Northern Ireland, www.eoni.org.uk</t>
  </si>
  <si>
    <t>Notes &amp; definitions</t>
  </si>
  <si>
    <t>European Parliament elections: Great Britain votes and MEPs &amp; UK totals</t>
  </si>
  <si>
    <t>European Parliament elections: Northern Ireland first preference votes and MEPs</t>
  </si>
  <si>
    <t>Contents</t>
  </si>
  <si>
    <t>Notes &amp; sources</t>
  </si>
  <si>
    <t>1. EP-GB</t>
  </si>
  <si>
    <t>2. EP-NI</t>
  </si>
  <si>
    <t>3. SC (NAW)</t>
  </si>
  <si>
    <t>4. SP</t>
  </si>
  <si>
    <t>5. NIA</t>
  </si>
  <si>
    <t>Results for the European Parliament elections held in Great Britain: votes, vote share and MEPs elected. Also gives UK turnout and UK total number of MEPs</t>
  </si>
  <si>
    <t>Results for the European Parliament elections held in Northern Ireland: first preference votes, vote share and MEPs elected</t>
  </si>
  <si>
    <t>Results for the Scottish Parliament elections: constituency and regional votes, vote share, seats and turnout</t>
  </si>
  <si>
    <t>Results for the Northern Ireland Assembly elections: first preference votes, vote share, seats and turnout</t>
  </si>
  <si>
    <t>Party names</t>
  </si>
  <si>
    <t xml:space="preserve">Key to abbreviations of party names </t>
  </si>
  <si>
    <t>Con votes</t>
  </si>
  <si>
    <t>Con vote share</t>
  </si>
  <si>
    <t>Lab votes</t>
  </si>
  <si>
    <t>Lab vote share</t>
  </si>
  <si>
    <t>LD votes</t>
  </si>
  <si>
    <t>LD vote share</t>
  </si>
  <si>
    <t>SNP votes</t>
  </si>
  <si>
    <t>SNP vote share</t>
  </si>
  <si>
    <t>PC vote share</t>
  </si>
  <si>
    <t>PC votes</t>
  </si>
  <si>
    <t>Green votes</t>
  </si>
  <si>
    <t>Green vote share</t>
  </si>
  <si>
    <t>BNP votes</t>
  </si>
  <si>
    <t>BNP vote share</t>
  </si>
  <si>
    <t>Brexit votes</t>
  </si>
  <si>
    <t>Brexit vote share</t>
  </si>
  <si>
    <t>Other votes</t>
  </si>
  <si>
    <t>Other vote share</t>
  </si>
  <si>
    <t xml:space="preserve">Key to party names </t>
  </si>
  <si>
    <t>Abbreviation</t>
  </si>
  <si>
    <t>Party name</t>
  </si>
  <si>
    <t>Con</t>
  </si>
  <si>
    <t>Lab</t>
  </si>
  <si>
    <t>All</t>
  </si>
  <si>
    <t>All (%)</t>
  </si>
  <si>
    <t>Conservative Party</t>
  </si>
  <si>
    <t>Labour Party</t>
  </si>
  <si>
    <t>Liberal Democrats</t>
  </si>
  <si>
    <t>United Kingdom Independence Party</t>
  </si>
  <si>
    <t>Scottish National Party</t>
  </si>
  <si>
    <t>British National Party</t>
  </si>
  <si>
    <t>Democratic Unionist Party</t>
  </si>
  <si>
    <t>Social Democratic and Labour Party</t>
  </si>
  <si>
    <t>Ulster Unionist Party</t>
  </si>
  <si>
    <t>Alliance Party</t>
  </si>
  <si>
    <t>Progressive Unionist Party</t>
  </si>
  <si>
    <t>Traditional Unionist Voice</t>
  </si>
  <si>
    <t>Colin Rallings and Michael Thrasher, British Electoral Facts 1832-2006</t>
  </si>
  <si>
    <t>House of Commons Library Research Paper RP09/53, European Parliament Elections 2009</t>
  </si>
  <si>
    <t>Electoral Commission, Report on the National Assembly for Wales general election 5 May 2016</t>
  </si>
  <si>
    <t>House of Commons Library Briefing Paper CBP 7594 , National Assembly for Wales Elections: 2016</t>
  </si>
  <si>
    <t>House of Commons Library Briefing Paper CBP 9282 , Welsh Parliament/ Senedd Cymru elections 2021</t>
  </si>
  <si>
    <t>Electoral Commission, Report on the Scottish Parliament election on 5 May 2011</t>
  </si>
  <si>
    <t>House of Commons Library Research Paper RP07/46, Scottish Parliament Elections: 3 May 2007</t>
  </si>
  <si>
    <t>House of Commons Library Research Paper RP11/41, Scottish Parliament Elections: 2011</t>
  </si>
  <si>
    <t>House of Commons Library Research Paper CBP9230, Scottish Parliament Elections: 2021</t>
  </si>
  <si>
    <t>Note:</t>
  </si>
  <si>
    <t xml:space="preserve"> Liberal Democrats includes Liberal Party in 1979 and SDP/Liberal Alliance in 1984; SDP votes in the 1989 election are counted under 'Other'; Green Party includes Ecology Party in 1979 and 1984</t>
  </si>
  <si>
    <t>1. EP-GB &amp; 2. EP-NI</t>
  </si>
  <si>
    <t>Note: Throughout this spreadsheet, blank cells denote 0 (votes/seats)</t>
  </si>
  <si>
    <t xml:space="preserve">Results for the Senedd Cymru (formerly National Assembly for Wales) elections: constituency and regional votes, vote share, seats and turnout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</si>
</sst>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%"/>
    <numFmt numFmtId="165" formatCode="_-* #,##0_-;\-* #,##0_-;_-* &quot;-&quot;??_-;_-@_-"/>
  </numFmts>
  <fonts count="9" x14ac:knownFonts="1">
    <font>
      <sz val="10"/>
      <color theme="1"/>
      <name val="Open Sans"/>
      <family val="2"/>
    </font>
    <font>
      <sz val="8"/>
      <name val="Open Sans"/>
      <family val="2"/>
    </font>
    <font>
      <sz val="10"/>
      <color theme="1"/>
      <name val="Open Sans"/>
      <family val="2"/>
    </font>
    <font>
      <sz val="9"/>
      <color theme="1"/>
      <name val="Open Sans"/>
      <family val="2"/>
    </font>
    <font>
      <sz val="14"/>
      <color theme="4"/>
      <name val="National-LFSN Semibd"/>
      <family val="2"/>
    </font>
    <font>
      <sz val="10"/>
      <name val="Arial"/>
      <family val="2"/>
    </font>
    <font>
      <u/>
      <sz val="10"/>
      <color theme="10"/>
      <name val="Open Sans"/>
      <family val="2"/>
    </font>
    <font>
      <b/>
      <sz val="9"/>
      <color theme="1"/>
      <name val="Open Sans"/>
      <family val="2"/>
    </font>
    <font>
      <u/>
      <sz val="9"/>
      <color theme="10"/>
      <name val="Open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theme="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0" fontId="0" fillId="0" borderId="0" xfId="0" applyFill="1"/>
    <xf numFmtId="0" fontId="3" fillId="0" borderId="0" xfId="0" applyFont="1" applyFill="1" applyAlignment="1">
      <alignment horizontal="right"/>
    </xf>
    <xf numFmtId="0" fontId="3" fillId="0" borderId="0" xfId="0" applyFont="1" applyFill="1"/>
    <xf numFmtId="0" fontId="3" fillId="0" borderId="0" xfId="0" applyFont="1" applyFill="1" applyAlignment="1">
      <alignment horizontal="left"/>
    </xf>
    <xf numFmtId="0" fontId="3" fillId="2" borderId="0" xfId="0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right"/>
    </xf>
    <xf numFmtId="0" fontId="3" fillId="3" borderId="0" xfId="0" applyFont="1" applyFill="1" applyBorder="1"/>
    <xf numFmtId="0" fontId="3" fillId="3" borderId="0" xfId="0" applyFont="1" applyFill="1" applyBorder="1" applyAlignment="1">
      <alignment horizontal="right"/>
    </xf>
    <xf numFmtId="165" fontId="3" fillId="0" borderId="0" xfId="1" applyNumberFormat="1" applyFont="1" applyFill="1"/>
    <xf numFmtId="165" fontId="3" fillId="3" borderId="1" xfId="1" applyNumberFormat="1" applyFont="1" applyFill="1" applyBorder="1"/>
    <xf numFmtId="165" fontId="3" fillId="3" borderId="0" xfId="1" applyNumberFormat="1" applyFont="1" applyFill="1" applyBorder="1"/>
    <xf numFmtId="164" fontId="3" fillId="0" borderId="0" xfId="2" applyNumberFormat="1" applyFont="1" applyFill="1"/>
    <xf numFmtId="164" fontId="3" fillId="3" borderId="1" xfId="2" applyNumberFormat="1" applyFont="1" applyFill="1" applyBorder="1"/>
    <xf numFmtId="164" fontId="3" fillId="3" borderId="0" xfId="2" applyNumberFormat="1" applyFont="1" applyFill="1" applyBorder="1"/>
    <xf numFmtId="0" fontId="4" fillId="0" borderId="0" xfId="0" applyFont="1" applyFill="1" applyAlignment="1">
      <alignment horizontal="left"/>
    </xf>
    <xf numFmtId="0" fontId="3" fillId="0" borderId="0" xfId="0" applyFont="1"/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4" fillId="0" borderId="0" xfId="0" applyFont="1"/>
    <xf numFmtId="0" fontId="3" fillId="0" borderId="0" xfId="0" applyFont="1" applyAlignment="1">
      <alignment horizontal="left"/>
    </xf>
    <xf numFmtId="1" fontId="3" fillId="0" borderId="0" xfId="0" applyNumberFormat="1" applyFont="1" applyFill="1" applyAlignment="1">
      <alignment horizontal="right"/>
    </xf>
    <xf numFmtId="165" fontId="3" fillId="0" borderId="0" xfId="1" applyNumberFormat="1" applyFont="1" applyFill="1" applyAlignment="1">
      <alignment horizontal="right"/>
    </xf>
    <xf numFmtId="165" fontId="3" fillId="0" borderId="0" xfId="1" applyNumberFormat="1" applyFont="1" applyFill="1" applyBorder="1" applyAlignment="1">
      <alignment horizontal="right"/>
    </xf>
    <xf numFmtId="164" fontId="3" fillId="0" borderId="0" xfId="2" applyNumberFormat="1" applyFont="1" applyFill="1" applyAlignment="1">
      <alignment horizontal="right"/>
    </xf>
    <xf numFmtId="165" fontId="3" fillId="0" borderId="0" xfId="1" applyNumberFormat="1" applyFont="1"/>
    <xf numFmtId="164" fontId="3" fillId="0" borderId="0" xfId="2" applyNumberFormat="1" applyFont="1"/>
    <xf numFmtId="165" fontId="0" fillId="0" borderId="0" xfId="1" applyNumberFormat="1" applyFont="1"/>
    <xf numFmtId="0" fontId="3" fillId="3" borderId="0" xfId="0" applyFont="1" applyFill="1"/>
    <xf numFmtId="0" fontId="4" fillId="0" borderId="0" xfId="0" applyFont="1" applyAlignment="1">
      <alignment horizontal="left"/>
    </xf>
    <xf numFmtId="0" fontId="3" fillId="0" borderId="2" xfId="0" applyFont="1" applyBorder="1"/>
    <xf numFmtId="37" fontId="3" fillId="0" borderId="0" xfId="0" applyNumberFormat="1" applyFont="1"/>
    <xf numFmtId="0" fontId="3" fillId="0" borderId="0" xfId="0" applyFont="1" applyAlignment="1">
      <alignment horizontal="left" vertical="top"/>
    </xf>
    <xf numFmtId="0" fontId="7" fillId="0" borderId="0" xfId="0" applyFont="1"/>
    <xf numFmtId="0" fontId="3" fillId="0" borderId="0" xfId="0" applyFont="1" applyAlignment="1">
      <alignment horizontal="left" indent="2"/>
    </xf>
    <xf numFmtId="0" fontId="8" fillId="0" borderId="0" xfId="4" applyFont="1"/>
  </cellXfs>
  <cellStyles count="5">
    <cellStyle name="Comma" xfId="1" builtinId="3"/>
    <cellStyle name="Comma 2" xfId="3" xr:uid="{A1DA0CF4-085E-44B9-95D0-B560A9AF23E9}"/>
    <cellStyle name="Hyperlink" xfId="4" builtinId="8"/>
    <cellStyle name="Normal" xfId="0" builtinId="0"/>
    <cellStyle name="Percent" xfId="2" builtinId="5"/>
  </cellStyles>
  <dxfs count="94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</dxf>
    <dxf>
      <border outline="0"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numFmt numFmtId="164" formatCode="0.0%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numFmt numFmtId="164" formatCode="0.0%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numFmt numFmtId="165" formatCode="_-* #,##0_-;\-* #,##0_-;_-* &quot;-&quot;??_-;_-@_-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numFmt numFmtId="164" formatCode="0.0%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numFmt numFmtId="165" formatCode="_-* #,##0_-;\-* #,##0_-;_-* &quot;-&quot;??_-;_-@_-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numFmt numFmtId="164" formatCode="0.0%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numFmt numFmtId="165" formatCode="_-* #,##0_-;\-* #,##0_-;_-* &quot;-&quot;??_-;_-@_-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numFmt numFmtId="164" formatCode="0.0%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fill>
        <patternFill patternType="solid">
          <fgColor indexed="64"/>
          <bgColor theme="2"/>
        </patternFill>
      </fill>
    </dxf>
    <dxf>
      <fill>
        <patternFill>
          <bgColor theme="2"/>
        </patternFill>
      </fill>
      <border diagonalUp="0" diagonalDown="0">
        <left/>
        <right/>
        <top/>
        <bottom style="thin">
          <color theme="4"/>
        </bottom>
        <vertical/>
        <horizontal/>
      </border>
    </dxf>
    <dxf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</dxfs>
  <tableStyles count="1" defaultTableStyle="HoC" defaultPivotStyle="PivotStyleLight16">
    <tableStyle name="HoC" pivot="0" count="2" xr9:uid="{436820AE-E351-4BFA-AE8C-D172C3D89830}">
      <tableStyleElement type="wholeTable" dxfId="93"/>
      <tableStyleElement type="headerRow" dxfId="9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D68AC0-8108-44F5-8421-DD2630DD92D8}" name="Table2" displayName="Table2" ref="A2:AI11" totalsRowShown="0" headerRowDxfId="91" dataDxfId="90">
  <autoFilter ref="A2:AI11" xr:uid="{AAD68AC0-8108-44F5-8421-DD2630DD92D8}"/>
  <tableColumns count="35">
    <tableColumn id="1" xr3:uid="{D7512744-7113-4E73-BAE3-A449C9DA8C1D}" name="Election" dataDxfId="89"/>
    <tableColumn id="2" xr3:uid="{B635931F-5F4E-4F53-8BD6-91B3078387ED}" name="Con votes" dataDxfId="88" dataCellStyle="Comma"/>
    <tableColumn id="3" xr3:uid="{EE968666-4F3E-4D54-8FB2-3DF7E65A07F2}" name="Con vote share" dataDxfId="87" dataCellStyle="Percent">
      <calculatedColumnFormula>B3/AE3</calculatedColumnFormula>
    </tableColumn>
    <tableColumn id="4" xr3:uid="{842A89DA-CB69-46EA-91E8-2412BADA6BB5}" name="Con MEPs" dataDxfId="86"/>
    <tableColumn id="5" xr3:uid="{85FC4C42-65D0-4A56-BE0C-713294D53A11}" name="Lab votes" dataDxfId="85" dataCellStyle="Comma"/>
    <tableColumn id="6" xr3:uid="{C65A903F-E40A-413B-B984-70ACCC269623}" name="Lab vote share" dataDxfId="84" dataCellStyle="Percent">
      <calculatedColumnFormula>E3/AE3</calculatedColumnFormula>
    </tableColumn>
    <tableColumn id="7" xr3:uid="{82BCBAAC-5ECE-42DD-ABF6-B0D54A45A86D}" name="Lab MEPs" dataDxfId="83"/>
    <tableColumn id="8" xr3:uid="{A7524B1B-F805-4E2A-8863-A2DAAE443F54}" name="LD votes" dataDxfId="82" dataCellStyle="Comma"/>
    <tableColumn id="9" xr3:uid="{F0481F6E-9F9D-44F8-BD06-34EC8A51D59C}" name="LD vote share" dataDxfId="81" dataCellStyle="Percent">
      <calculatedColumnFormula>H3/AE3</calculatedColumnFormula>
    </tableColumn>
    <tableColumn id="10" xr3:uid="{8B67B969-CCA4-4470-9F70-C2375D46D86B}" name="LD MEPs" dataDxfId="80"/>
    <tableColumn id="11" xr3:uid="{CD7B9152-E152-4130-8F20-69B16A7020DB}" name="UKIP votes" dataDxfId="79" dataCellStyle="Comma"/>
    <tableColumn id="12" xr3:uid="{E3F49DF4-637F-4CF2-A4A5-C23BD005CBCE}" name="UKIP vote share" dataDxfId="78">
      <calculatedColumnFormula>K3/AE3</calculatedColumnFormula>
    </tableColumn>
    <tableColumn id="13" xr3:uid="{E8BB7F4F-231B-4250-B720-680CE648E435}" name="UKIP MEPs" dataDxfId="77"/>
    <tableColumn id="14" xr3:uid="{BDCD91E1-E11B-4598-ACD6-248345F59663}" name="SNP votes" dataDxfId="76" dataCellStyle="Comma"/>
    <tableColumn id="15" xr3:uid="{1029DE96-333A-4CCF-AE2D-95BA28957B23}" name="SNP vote share" dataDxfId="75" dataCellStyle="Percent">
      <calculatedColumnFormula>N3/AE3</calculatedColumnFormula>
    </tableColumn>
    <tableColumn id="16" xr3:uid="{70CF2AF6-0B81-4323-8420-0C8216D17F50}" name="SNP MEPs" dataDxfId="74"/>
    <tableColumn id="17" xr3:uid="{E38054B1-9E00-4A91-86F7-9F41A5F6DB5A}" name="PC votes" dataDxfId="73" dataCellStyle="Comma"/>
    <tableColumn id="18" xr3:uid="{51E9687D-9CF6-4DC0-A006-5352DB38925D}" name="PC vote share" dataDxfId="72" dataCellStyle="Percent">
      <calculatedColumnFormula>Q3/AE3</calculatedColumnFormula>
    </tableColumn>
    <tableColumn id="19" xr3:uid="{5F92A452-CF99-409E-ABCA-03FFCD739BDE}" name="PC MEPs" dataDxfId="71"/>
    <tableColumn id="20" xr3:uid="{60316933-09FB-49FE-8938-E6C8D954B433}" name="Green votes" dataDxfId="70" dataCellStyle="Comma"/>
    <tableColumn id="21" xr3:uid="{C299B75A-705D-400C-BEF0-8F2FB2609E84}" name="Green vote share" dataDxfId="69" dataCellStyle="Percent">
      <calculatedColumnFormula>T3/AE3</calculatedColumnFormula>
    </tableColumn>
    <tableColumn id="22" xr3:uid="{F10B6FB4-22F0-45A9-9754-FA704E30748E}" name="Green MEPs" dataDxfId="68"/>
    <tableColumn id="23" xr3:uid="{A751FE37-88C5-44F5-AD4C-917BD32E6F9B}" name="BNP votes" dataDxfId="67"/>
    <tableColumn id="24" xr3:uid="{F33E7594-C3D3-4711-922C-E2FE1B891EC9}" name="BNP vote share" dataDxfId="66"/>
    <tableColumn id="25" xr3:uid="{0603DB1D-0D66-4F9B-958F-E3CFBAAF8403}" name="BNP MEPs" dataDxfId="65"/>
    <tableColumn id="26" xr3:uid="{6D4B3108-E566-4DBF-BE48-55A216132B44}" name="Brexit votes" dataDxfId="64"/>
    <tableColumn id="27" xr3:uid="{92304C97-6B0B-4D98-90DA-51E1A2EA0B7E}" name="Brexit vote share" dataDxfId="63"/>
    <tableColumn id="28" xr3:uid="{FE5E4E46-EEA5-4DA6-8322-80BB2D1862A2}" name="Brexit MEPs" dataDxfId="62"/>
    <tableColumn id="29" xr3:uid="{25F0F5C0-75E8-4CD3-ABE1-1F81132632F1}" name="Other votes" dataDxfId="61" dataCellStyle="Comma"/>
    <tableColumn id="30" xr3:uid="{EB3EDFA9-5020-4F70-9DCA-7C892CD1B609}" name="Other vote share" dataDxfId="60" dataCellStyle="Percent">
      <calculatedColumnFormula>AC3/AE3</calculatedColumnFormula>
    </tableColumn>
    <tableColumn id="31" xr3:uid="{88059736-4D59-4EE8-A3B8-31C0A599DC76}" name="Total votes GB" dataDxfId="59" dataCellStyle="Comma"/>
    <tableColumn id="32" xr3:uid="{4792032F-DF90-4069-9E70-708424CAE331}" name="Turnout GB" dataDxfId="58" dataCellStyle="Percent"/>
    <tableColumn id="34" xr3:uid="{E3EE58CF-5FA2-4DA7-B38C-2B03062996CC}" name="Total GB MEPs" dataDxfId="57"/>
    <tableColumn id="33" xr3:uid="{1D956D39-6BD6-4ECC-B447-FB3E4C294E22}" name="Turnout UK" dataDxfId="56" dataCellStyle="Percent"/>
    <tableColumn id="35" xr3:uid="{44C8FA58-9BA8-4769-8B5C-B2F65F86A78A}" name="Total UK MEPs" dataDxfId="55"/>
  </tableColumns>
  <tableStyleInfo name="HoC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C19BFE-AF9C-49E4-9472-64CC3D24FC69}" name="Table4" displayName="Table4" ref="A2:U11" totalsRowShown="0" headerRowDxfId="54" dataDxfId="53">
  <autoFilter ref="A2:U11" xr:uid="{FEC19BFE-AF9C-49E4-9472-64CC3D24FC69}"/>
  <tableColumns count="21">
    <tableColumn id="1" xr3:uid="{4A2A7A1F-BAD2-4355-A709-521EF5FEAA06}" name="Election" dataDxfId="52"/>
    <tableColumn id="2" xr3:uid="{6DC0CB68-D129-42B1-BB97-07DB2715E1FF}" name="DUP" dataDxfId="51" dataCellStyle="Comma"/>
    <tableColumn id="3" xr3:uid="{AFA30358-A44A-4693-800A-F8A538EB8651}" name="DUP (%)" dataDxfId="50" dataCellStyle="Percent">
      <calculatedColumnFormula>B3/S3</calculatedColumnFormula>
    </tableColumn>
    <tableColumn id="4" xr3:uid="{DFB7CDB7-120D-45B0-A760-4FF582061807}" name="DUP MEPs" dataDxfId="49"/>
    <tableColumn id="5" xr3:uid="{7DC9BCD9-670B-4B9D-84E1-992973FF1650}" name="SDLP" dataDxfId="48" dataCellStyle="Comma"/>
    <tableColumn id="6" xr3:uid="{45C01406-7A37-4AD3-A4C4-E294B85A9FD7}" name="SDLP (%)" dataDxfId="47" dataCellStyle="Percent">
      <calculatedColumnFormula>E3/S3</calculatedColumnFormula>
    </tableColumn>
    <tableColumn id="7" xr3:uid="{01F049CF-5353-4172-AD9E-5641D7A23BB1}" name="SDLP MEPs" dataDxfId="46"/>
    <tableColumn id="8" xr3:uid="{8EC40587-9586-48CF-91C8-89437E0864D1}" name="UUP" dataDxfId="45" dataCellStyle="Comma"/>
    <tableColumn id="9" xr3:uid="{95690AB8-FD7A-4091-95EC-9411275C2EA4}" name="UUP (%)" dataDxfId="44" dataCellStyle="Percent">
      <calculatedColumnFormula>H3/S3</calculatedColumnFormula>
    </tableColumn>
    <tableColumn id="10" xr3:uid="{85FF24C7-0A9E-46FB-AC51-6DB93D953DDB}" name="UUP MEPs" dataDxfId="43"/>
    <tableColumn id="11" xr3:uid="{70EC1184-243F-4F11-82E2-EC6204F6FA19}" name="SF" dataDxfId="42" dataCellStyle="Comma"/>
    <tableColumn id="12" xr3:uid="{6469B525-FC1E-468C-BE17-D62C61BB404D}" name="SF (%)" dataDxfId="41">
      <calculatedColumnFormula>K3/S3</calculatedColumnFormula>
    </tableColumn>
    <tableColumn id="13" xr3:uid="{56582F33-986A-4989-8F5B-A680CA5D1580}" name="SF MEPs" dataDxfId="40"/>
    <tableColumn id="14" xr3:uid="{F0886008-AD36-406C-A5C2-E4FA99F214AA}" name="All" dataDxfId="39" dataCellStyle="Comma"/>
    <tableColumn id="15" xr3:uid="{422F3A2C-2A58-4362-82E6-A98D2D58CD45}" name="All (%)" dataDxfId="38">
      <calculatedColumnFormula>N3/S3</calculatedColumnFormula>
    </tableColumn>
    <tableColumn id="16" xr3:uid="{1DF2009A-686D-4383-9533-2F3C5BCEA033}" name="All MEPs" dataDxfId="37"/>
    <tableColumn id="17" xr3:uid="{47F44571-0AC5-4CCE-9EE6-320F19EAEE13}" name="Other" dataDxfId="36" dataCellStyle="Comma"/>
    <tableColumn id="18" xr3:uid="{00C6EA90-00A3-47E1-9C88-6BB0196C11B3}" name="Other (%)" dataDxfId="35">
      <calculatedColumnFormula>Q3/S3</calculatedColumnFormula>
    </tableColumn>
    <tableColumn id="19" xr3:uid="{04DBFB44-6877-406C-B108-6E5993E169D6}" name="Total" dataDxfId="34" dataCellStyle="Comma"/>
    <tableColumn id="20" xr3:uid="{D49FCEF5-8063-4AE3-B5C9-DEEC999B2BE0}" name="Turnout" dataDxfId="33" dataCellStyle="Percent"/>
    <tableColumn id="21" xr3:uid="{FB59B17B-B4DC-4427-941A-9E97445EDFB4}" name="Total NI MEPs" dataDxfId="32"/>
  </tableColumns>
  <tableStyleInfo name="HoC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AE87F0-DF3F-4827-B87F-CE300EE3B456}" name="Table1" displayName="Table1" ref="A2:G43" totalsRowShown="0" headerRowDxfId="31" dataDxfId="30">
  <autoFilter ref="A2:G43" xr:uid="{4AAE87F0-DF3F-4827-B87F-CE300EE3B456}"/>
  <tableColumns count="7">
    <tableColumn id="1" xr3:uid="{9FD77103-EF52-4199-9A1E-FBD0522B2421}" name="Result" dataDxfId="29"/>
    <tableColumn id="2" xr3:uid="{EB61BDF8-5698-4803-84B4-85EE32FB1C5B}" name="1999" dataDxfId="28"/>
    <tableColumn id="3" xr3:uid="{85C9FF2D-D30C-4C9E-BCA4-FD6A0DC7325F}" name="2003" dataDxfId="27"/>
    <tableColumn id="4" xr3:uid="{9708EE57-AB8D-400B-8254-8A6EC0EA7E5E}" name="2007" dataDxfId="26"/>
    <tableColumn id="5" xr3:uid="{54090FD3-0584-4335-B2D0-4D6188EB12E3}" name="2011" dataDxfId="25"/>
    <tableColumn id="6" xr3:uid="{369B256E-EBF4-4D4B-B2FB-7BAF7EDA5CA4}" name="2016" dataDxfId="24"/>
    <tableColumn id="7" xr3:uid="{FB87B161-4B8D-4B5F-928A-155AE2093F71}" name="2021" dataDxfId="23"/>
  </tableColumns>
  <tableStyleInfo name="HoC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12EFD4-83A3-45F4-A9A6-6D7E265A9E77}" name="Table3" displayName="Table3" ref="A2:G44" totalsRowShown="0" headerRowDxfId="22" dataDxfId="21">
  <autoFilter ref="A2:G44" xr:uid="{9E12EFD4-83A3-45F4-A9A6-6D7E265A9E77}"/>
  <tableColumns count="7">
    <tableColumn id="1" xr3:uid="{7C70C2FF-B391-4341-8ECE-D1B4F9B2D201}" name="Result" dataDxfId="20"/>
    <tableColumn id="2" xr3:uid="{5AB9C78B-4C1A-41E4-9097-C94F2C8AC369}" name="1999" dataDxfId="19"/>
    <tableColumn id="3" xr3:uid="{94E587B4-54B0-4552-8388-A9551B25F134}" name="2003" dataDxfId="18"/>
    <tableColumn id="4" xr3:uid="{17DE568F-1869-4E20-93ED-12225823F8C2}" name="2007" dataDxfId="17"/>
    <tableColumn id="5" xr3:uid="{665FB250-5955-482E-851B-DCF766F1CD90}" name="2011" dataDxfId="16"/>
    <tableColumn id="6" xr3:uid="{6E35FBF5-7E9F-4829-90B0-34E349B4D451}" name="2016" dataDxfId="15"/>
    <tableColumn id="7" xr3:uid="{A3100413-465B-43C4-AB95-56E382993BDE}" name="2021" dataDxfId="14"/>
  </tableColumns>
  <tableStyleInfo name="HoC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ED968E-18EF-4B76-8E98-A276280C910C}" name="Table5" displayName="Table5" ref="A2:H41" totalsRowShown="0" headerRowDxfId="13" dataDxfId="12">
  <autoFilter ref="A2:H41" xr:uid="{DFED968E-18EF-4B76-8E98-A276280C910C}"/>
  <tableColumns count="8">
    <tableColumn id="1" xr3:uid="{2AD635FC-0D64-4FBA-ACDD-D80226985A4D}" name="Result" dataDxfId="11"/>
    <tableColumn id="2" xr3:uid="{19670A46-C635-4BC0-A22C-4170E3E75BF5}" name="1998" dataDxfId="10"/>
    <tableColumn id="3" xr3:uid="{A191FD6E-69DC-45BD-A86F-EF69417297B4}" name="2003" dataDxfId="9"/>
    <tableColumn id="4" xr3:uid="{135A5F3A-5904-496E-9314-BF8CA43F35FA}" name="2007" dataDxfId="8"/>
    <tableColumn id="5" xr3:uid="{2A398EA5-97FA-4E14-83F8-1A19D95E5DE6}" name="2011" dataDxfId="7"/>
    <tableColumn id="6" xr3:uid="{72347A2C-7E72-49C4-A395-9A7AEA5BD640}" name="2016" dataDxfId="6"/>
    <tableColumn id="7" xr3:uid="{8F26BDF0-50B6-4969-9B31-8AB4EC6552D9}" name="2017" dataDxfId="5"/>
    <tableColumn id="8" xr3:uid="{848908D8-0D78-4A55-8540-5301CA9319C2}" name="2022" dataDxfId="4"/>
  </tableColumns>
  <tableStyleInfo name="HoC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A81BFCF-0B24-4F68-BF56-60A132C1A4F7}" name="Table6" displayName="Table6" ref="A2:B16" totalsRowShown="0" headerRowDxfId="3" headerRowBorderDxfId="2">
  <autoFilter ref="A2:B16" xr:uid="{BA81BFCF-0B24-4F68-BF56-60A132C1A4F7}"/>
  <tableColumns count="2">
    <tableColumn id="1" xr3:uid="{F32348AD-373F-4545-9A91-7DCE4C62E6D1}" name="Abbreviation" dataDxfId="1"/>
    <tableColumn id="2" xr3:uid="{FE87AD29-C56E-4587-9110-929ACD2CEF86}" name="Party name" dataDxfId="0"/>
  </tableColumns>
  <tableStyleInfo name="HoC" showFirstColumn="0" showLastColumn="0" showRowStripes="1" showColumnStripes="0"/>
</table>
</file>

<file path=xl/theme/theme1.xml><?xml version="1.0" encoding="utf-8"?>
<a:theme xmlns:a="http://schemas.openxmlformats.org/drawingml/2006/main" name="Stats-Proposal">
  <a:themeElements>
    <a:clrScheme name="Test 040220">
      <a:dk1>
        <a:sysClr val="windowText" lastClr="000000"/>
      </a:dk1>
      <a:lt1>
        <a:sysClr val="window" lastClr="FFFFFF"/>
      </a:lt1>
      <a:dk2>
        <a:srgbClr val="6E6E6E"/>
      </a:dk2>
      <a:lt2>
        <a:srgbClr val="F0EEED"/>
      </a:lt2>
      <a:accent1>
        <a:srgbClr val="006548"/>
      </a:accent1>
      <a:accent2>
        <a:srgbClr val="3F9D8A"/>
      </a:accent2>
      <a:accent3>
        <a:srgbClr val="682F7F"/>
      </a:accent3>
      <a:accent4>
        <a:srgbClr val="A37EC8"/>
      </a:accent4>
      <a:accent5>
        <a:srgbClr val="003F2B"/>
      </a:accent5>
      <a:accent6>
        <a:srgbClr val="E09F00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8A1E2-0461-4E5B-AC39-73FCB8D5D3DC}">
  <dimension ref="A1:B8"/>
  <sheetViews>
    <sheetView tabSelected="1" workbookViewId="0">
      <selection activeCell="B1" sqref="B1"/>
    </sheetView>
  </sheetViews>
  <sheetFormatPr defaultRowHeight="15" x14ac:dyDescent="0.35"/>
  <cols>
    <col min="1" max="1" width="13.69921875" customWidth="1"/>
  </cols>
  <sheetData>
    <row r="1" spans="1:2" ht="19.5" customHeight="1" x14ac:dyDescent="0.4">
      <c r="A1" s="21" t="s">
        <v>153</v>
      </c>
    </row>
    <row r="2" spans="1:2" x14ac:dyDescent="0.35">
      <c r="A2" s="37" t="s">
        <v>155</v>
      </c>
      <c r="B2" s="18" t="s">
        <v>160</v>
      </c>
    </row>
    <row r="3" spans="1:2" x14ac:dyDescent="0.35">
      <c r="A3" s="37" t="s">
        <v>156</v>
      </c>
      <c r="B3" s="18" t="s">
        <v>161</v>
      </c>
    </row>
    <row r="4" spans="1:2" x14ac:dyDescent="0.35">
      <c r="A4" s="37" t="s">
        <v>157</v>
      </c>
      <c r="B4" s="18" t="s">
        <v>216</v>
      </c>
    </row>
    <row r="5" spans="1:2" x14ac:dyDescent="0.35">
      <c r="A5" s="37" t="s">
        <v>158</v>
      </c>
      <c r="B5" s="18" t="s">
        <v>162</v>
      </c>
    </row>
    <row r="6" spans="1:2" x14ac:dyDescent="0.35">
      <c r="A6" s="37" t="s">
        <v>159</v>
      </c>
      <c r="B6" s="18" t="s">
        <v>163</v>
      </c>
    </row>
    <row r="7" spans="1:2" x14ac:dyDescent="0.35">
      <c r="A7" s="37" t="s">
        <v>154</v>
      </c>
      <c r="B7" s="18"/>
    </row>
    <row r="8" spans="1:2" x14ac:dyDescent="0.35">
      <c r="A8" s="37" t="s">
        <v>164</v>
      </c>
      <c r="B8" s="18" t="s">
        <v>165</v>
      </c>
    </row>
  </sheetData>
  <hyperlinks>
    <hyperlink ref="A2" location="'EP-GB'!A1" display="1. EP-GB" xr:uid="{394938C9-A88A-43DB-92AC-7B58348E24BA}"/>
    <hyperlink ref="A3" location="'EP-NI'!A1" display="2. EP-NI" xr:uid="{8E678581-FD25-4D5E-A4F2-46EBE421E2CA}"/>
    <hyperlink ref="A4" location="'SC (NAW)'!A1" display="3. SC (NAW)" xr:uid="{4737B65B-DE7C-4AC9-8420-2BABF06C8BE4}"/>
    <hyperlink ref="A5" location="SP!A1" display="4. SP" xr:uid="{88B6559E-FFA9-48D7-A3D3-F6EF964D25F4}"/>
    <hyperlink ref="A6" location="NIA!A1" display="5. NIA" xr:uid="{E23CCF3E-BA5C-459F-983A-CA8C536411EC}"/>
    <hyperlink ref="A7" location="'Notes &amp; definitions'!A1" display="Notes &amp; sources" xr:uid="{20651B8C-E696-448F-8ACD-152AD48D9B32}"/>
    <hyperlink ref="A8" location="'Party names'!A1" display="Party names" xr:uid="{83FBF2CC-C38C-4657-AA84-A741BCC5A50F}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F5AD5-3CE7-405A-A9D4-ED1681C46EC4}">
  <dimension ref="A1:AI13"/>
  <sheetViews>
    <sheetView workbookViewId="0">
      <selection activeCell="C8" sqref="C8"/>
    </sheetView>
  </sheetViews>
  <sheetFormatPr defaultRowHeight="15" x14ac:dyDescent="0.35"/>
  <cols>
    <col min="1" max="1" width="8.796875" style="5"/>
    <col min="2" max="2" width="11.5" style="4" customWidth="1"/>
    <col min="3" max="3" width="13.8984375" style="4" customWidth="1"/>
    <col min="4" max="4" width="9.5" style="4" customWidth="1"/>
    <col min="5" max="5" width="11.19921875" style="4" bestFit="1" customWidth="1"/>
    <col min="6" max="6" width="9.8984375" style="4" customWidth="1"/>
    <col min="7" max="7" width="9.296875" style="4" customWidth="1"/>
    <col min="8" max="8" width="14.5" style="4" customWidth="1"/>
    <col min="9" max="9" width="16.8984375" style="4" customWidth="1"/>
    <col min="10" max="10" width="8.796875" style="4"/>
    <col min="11" max="11" width="11.19921875" style="4" bestFit="1" customWidth="1"/>
    <col min="12" max="12" width="8.796875" style="4"/>
    <col min="13" max="13" width="10.09765625" style="4" customWidth="1"/>
    <col min="14" max="14" width="14.19921875" style="4" customWidth="1"/>
    <col min="15" max="15" width="16.59765625" style="4" customWidth="1"/>
    <col min="16" max="16" width="9.59765625" style="4" customWidth="1"/>
    <col min="17" max="17" width="11" style="4" customWidth="1"/>
    <col min="18" max="18" width="13.3984375" style="4" customWidth="1"/>
    <col min="19" max="19" width="8.796875" style="4"/>
    <col min="20" max="20" width="11.19921875" style="4" bestFit="1" customWidth="1"/>
    <col min="21" max="21" width="9.19921875" style="4" customWidth="1"/>
    <col min="22" max="22" width="11" style="4" customWidth="1"/>
    <col min="23" max="23" width="9.8984375" style="4" bestFit="1" customWidth="1"/>
    <col min="24" max="24" width="8.796875" style="4"/>
    <col min="25" max="25" width="9.796875" style="4" customWidth="1"/>
    <col min="26" max="26" width="11.19921875" style="4" bestFit="1" customWidth="1"/>
    <col min="27" max="27" width="9.09765625" style="4" customWidth="1"/>
    <col min="28" max="28" width="10.8984375" style="4" customWidth="1"/>
    <col min="29" max="29" width="11.19921875" style="4" bestFit="1" customWidth="1"/>
    <col min="30" max="30" width="9" style="4" customWidth="1"/>
    <col min="31" max="31" width="10.09765625" style="4" customWidth="1"/>
    <col min="32" max="32" width="8.796875" style="4"/>
    <col min="34" max="34" width="12.69921875" style="4" customWidth="1"/>
    <col min="35" max="35" width="10.5" style="4" customWidth="1"/>
    <col min="36" max="36" width="12.59765625" style="4" customWidth="1"/>
    <col min="37" max="16384" width="8.796875" style="4"/>
  </cols>
  <sheetData>
    <row r="1" spans="1:35" ht="19.5" customHeight="1" x14ac:dyDescent="0.4">
      <c r="A1" s="17" t="s">
        <v>151</v>
      </c>
      <c r="AG1" s="4"/>
    </row>
    <row r="2" spans="1:35" ht="13.2" x14ac:dyDescent="0.3">
      <c r="A2" s="5" t="s">
        <v>33</v>
      </c>
      <c r="B2" s="4" t="s">
        <v>166</v>
      </c>
      <c r="C2" s="4" t="s">
        <v>167</v>
      </c>
      <c r="D2" s="4" t="s">
        <v>16</v>
      </c>
      <c r="E2" s="4" t="s">
        <v>168</v>
      </c>
      <c r="F2" s="4" t="s">
        <v>169</v>
      </c>
      <c r="G2" s="4" t="s">
        <v>17</v>
      </c>
      <c r="H2" s="4" t="s">
        <v>170</v>
      </c>
      <c r="I2" s="4" t="s">
        <v>171</v>
      </c>
      <c r="J2" s="4" t="s">
        <v>18</v>
      </c>
      <c r="K2" s="4" t="s">
        <v>115</v>
      </c>
      <c r="L2" s="4" t="s">
        <v>141</v>
      </c>
      <c r="M2" s="4" t="s">
        <v>19</v>
      </c>
      <c r="N2" s="4" t="s">
        <v>172</v>
      </c>
      <c r="O2" s="4" t="s">
        <v>173</v>
      </c>
      <c r="P2" s="4" t="s">
        <v>20</v>
      </c>
      <c r="Q2" s="4" t="s">
        <v>175</v>
      </c>
      <c r="R2" s="6" t="s">
        <v>174</v>
      </c>
      <c r="S2" s="6" t="s">
        <v>21</v>
      </c>
      <c r="T2" s="6" t="s">
        <v>176</v>
      </c>
      <c r="U2" s="6" t="s">
        <v>177</v>
      </c>
      <c r="V2" s="6" t="s">
        <v>30</v>
      </c>
      <c r="W2" s="6" t="s">
        <v>178</v>
      </c>
      <c r="X2" s="6" t="s">
        <v>179</v>
      </c>
      <c r="Y2" s="6" t="s">
        <v>31</v>
      </c>
      <c r="Z2" s="6" t="s">
        <v>180</v>
      </c>
      <c r="AA2" s="6" t="s">
        <v>181</v>
      </c>
      <c r="AB2" s="6" t="s">
        <v>32</v>
      </c>
      <c r="AC2" s="6" t="s">
        <v>182</v>
      </c>
      <c r="AD2" s="6" t="s">
        <v>183</v>
      </c>
      <c r="AE2" s="6" t="s">
        <v>34</v>
      </c>
      <c r="AF2" s="6" t="s">
        <v>35</v>
      </c>
      <c r="AG2" s="6" t="s">
        <v>22</v>
      </c>
      <c r="AH2" s="6" t="s">
        <v>15</v>
      </c>
      <c r="AI2" s="6" t="s">
        <v>29</v>
      </c>
    </row>
    <row r="3" spans="1:35" ht="13.2" x14ac:dyDescent="0.3">
      <c r="A3" s="5">
        <v>1979</v>
      </c>
      <c r="B3" s="11">
        <v>6508493</v>
      </c>
      <c r="C3" s="14">
        <f t="shared" ref="C3:C11" si="0">B3/AE3</f>
        <v>0.50555909761895668</v>
      </c>
      <c r="D3" s="3">
        <v>60</v>
      </c>
      <c r="E3" s="11">
        <v>4253207</v>
      </c>
      <c r="F3" s="14">
        <f t="shared" ref="F3:F11" si="1">E3/AE3</f>
        <v>0.33037563271661036</v>
      </c>
      <c r="G3" s="3">
        <v>17</v>
      </c>
      <c r="H3" s="11">
        <v>1691531</v>
      </c>
      <c r="I3" s="14">
        <f t="shared" ref="I3:I11" si="2">H3/AE3</f>
        <v>0.13139276418588625</v>
      </c>
      <c r="J3" s="3"/>
      <c r="K3" s="11"/>
      <c r="M3" s="3"/>
      <c r="N3" s="11">
        <v>247836</v>
      </c>
      <c r="O3" s="14">
        <f t="shared" ref="O3:O11" si="3">N3/AE3</f>
        <v>1.9251114584818901E-2</v>
      </c>
      <c r="P3" s="3">
        <v>1</v>
      </c>
      <c r="Q3" s="11">
        <v>83399</v>
      </c>
      <c r="R3" s="15">
        <f t="shared" ref="R3:R11" si="4">Q3/AE3</f>
        <v>6.4781698593396912E-3</v>
      </c>
      <c r="S3" s="8"/>
      <c r="T3" s="12">
        <v>17953</v>
      </c>
      <c r="U3" s="15">
        <f t="shared" ref="U3:U11" si="5">T3/AE3</f>
        <v>1.394532110513621E-3</v>
      </c>
      <c r="V3" s="8"/>
      <c r="W3" s="7"/>
      <c r="X3" s="7"/>
      <c r="Y3" s="8"/>
      <c r="Z3" s="7"/>
      <c r="AA3" s="7"/>
      <c r="AB3" s="8"/>
      <c r="AC3" s="12">
        <v>71433</v>
      </c>
      <c r="AD3" s="15">
        <f t="shared" ref="AD3:AD11" si="6">AC3/AE3</f>
        <v>5.5486889238745328E-3</v>
      </c>
      <c r="AE3" s="12">
        <v>12873852</v>
      </c>
      <c r="AF3" s="15">
        <v>0.32083303708146338</v>
      </c>
      <c r="AG3" s="8">
        <v>78</v>
      </c>
      <c r="AH3" s="15">
        <v>0.32671696671081341</v>
      </c>
      <c r="AI3" s="8">
        <v>81</v>
      </c>
    </row>
    <row r="4" spans="1:35" ht="13.2" x14ac:dyDescent="0.3">
      <c r="A4" s="5">
        <v>1984</v>
      </c>
      <c r="B4" s="11">
        <v>5426821</v>
      </c>
      <c r="C4" s="14">
        <f t="shared" si="0"/>
        <v>0.40763710432751821</v>
      </c>
      <c r="D4" s="3">
        <v>45</v>
      </c>
      <c r="E4" s="11">
        <v>4865261</v>
      </c>
      <c r="F4" s="14">
        <f t="shared" si="1"/>
        <v>0.36545537540995093</v>
      </c>
      <c r="G4" s="3">
        <v>32</v>
      </c>
      <c r="H4" s="11">
        <v>2591635</v>
      </c>
      <c r="I4" s="14">
        <f t="shared" si="2"/>
        <v>0.19467135305805142</v>
      </c>
      <c r="J4" s="3"/>
      <c r="K4" s="11"/>
      <c r="M4" s="3"/>
      <c r="N4" s="11">
        <v>230594</v>
      </c>
      <c r="O4" s="14">
        <f t="shared" si="3"/>
        <v>1.7321129706562962E-2</v>
      </c>
      <c r="P4" s="3">
        <v>1</v>
      </c>
      <c r="Q4" s="11">
        <v>103031</v>
      </c>
      <c r="R4" s="16">
        <f t="shared" si="4"/>
        <v>7.7392009974105516E-3</v>
      </c>
      <c r="S4" s="10"/>
      <c r="T4" s="13">
        <v>70853</v>
      </c>
      <c r="U4" s="16">
        <f t="shared" si="5"/>
        <v>5.3221419598910016E-3</v>
      </c>
      <c r="V4" s="10"/>
      <c r="W4" s="9"/>
      <c r="X4" s="9"/>
      <c r="Y4" s="10"/>
      <c r="Z4" s="9"/>
      <c r="AA4" s="9"/>
      <c r="AB4" s="10"/>
      <c r="AC4" s="13">
        <v>24678</v>
      </c>
      <c r="AD4" s="16">
        <f t="shared" si="6"/>
        <v>1.8536945406149371E-3</v>
      </c>
      <c r="AE4" s="13">
        <v>13312873</v>
      </c>
      <c r="AF4" s="16">
        <v>0.32134128887302993</v>
      </c>
      <c r="AG4" s="10">
        <v>78</v>
      </c>
      <c r="AH4" s="16">
        <v>0.32942248865592882</v>
      </c>
      <c r="AI4" s="10">
        <v>81</v>
      </c>
    </row>
    <row r="5" spans="1:35" ht="13.2" x14ac:dyDescent="0.3">
      <c r="A5" s="5">
        <v>1989</v>
      </c>
      <c r="B5" s="11">
        <v>5331098</v>
      </c>
      <c r="C5" s="14">
        <f t="shared" si="0"/>
        <v>0.347048065761763</v>
      </c>
      <c r="D5" s="3">
        <v>32</v>
      </c>
      <c r="E5" s="11">
        <v>6153661</v>
      </c>
      <c r="F5" s="14">
        <f t="shared" si="1"/>
        <v>0.40059592740624844</v>
      </c>
      <c r="G5" s="3">
        <v>45</v>
      </c>
      <c r="H5" s="11">
        <v>944861</v>
      </c>
      <c r="I5" s="14">
        <f t="shared" si="2"/>
        <v>6.1509314303305841E-2</v>
      </c>
      <c r="J5" s="3"/>
      <c r="K5" s="11"/>
      <c r="M5" s="3"/>
      <c r="N5" s="11">
        <v>406686</v>
      </c>
      <c r="O5" s="14">
        <f t="shared" si="3"/>
        <v>2.6474769301256206E-2</v>
      </c>
      <c r="P5" s="3">
        <v>1</v>
      </c>
      <c r="Q5" s="11">
        <v>115062</v>
      </c>
      <c r="R5" s="16">
        <f t="shared" si="4"/>
        <v>7.4903977647156322E-3</v>
      </c>
      <c r="S5" s="10"/>
      <c r="T5" s="13">
        <v>2292718</v>
      </c>
      <c r="U5" s="16">
        <f t="shared" si="5"/>
        <v>0.14925318334744134</v>
      </c>
      <c r="V5" s="10"/>
      <c r="W5" s="9"/>
      <c r="X5" s="9"/>
      <c r="Y5" s="10"/>
      <c r="Z5" s="9"/>
      <c r="AA5" s="9"/>
      <c r="AB5" s="10"/>
      <c r="AC5" s="13">
        <v>117181</v>
      </c>
      <c r="AD5" s="16">
        <f t="shared" si="6"/>
        <v>7.6283421152695281E-3</v>
      </c>
      <c r="AE5" s="13">
        <v>15361267</v>
      </c>
      <c r="AF5" s="16">
        <v>0.36510232432159551</v>
      </c>
      <c r="AG5" s="10">
        <v>78</v>
      </c>
      <c r="AH5" s="16">
        <v>0.36812906315596405</v>
      </c>
      <c r="AI5" s="10">
        <v>81</v>
      </c>
    </row>
    <row r="6" spans="1:35" ht="13.2" x14ac:dyDescent="0.3">
      <c r="A6" s="5">
        <v>1994</v>
      </c>
      <c r="B6" s="11">
        <v>4268539</v>
      </c>
      <c r="C6" s="14">
        <f t="shared" si="0"/>
        <v>0.27912225174824989</v>
      </c>
      <c r="D6" s="3">
        <v>18</v>
      </c>
      <c r="E6" s="11">
        <v>6753881</v>
      </c>
      <c r="F6" s="14">
        <f t="shared" si="1"/>
        <v>0.44164021290650546</v>
      </c>
      <c r="G6" s="3">
        <v>62</v>
      </c>
      <c r="H6" s="11">
        <v>2557887</v>
      </c>
      <c r="I6" s="14">
        <f t="shared" si="2"/>
        <v>0.16726172096766032</v>
      </c>
      <c r="J6" s="3">
        <v>2</v>
      </c>
      <c r="K6" s="11">
        <v>150251</v>
      </c>
      <c r="L6" s="14">
        <f t="shared" ref="L6:L11" si="7">K6/AE6</f>
        <v>9.8250004152301996E-3</v>
      </c>
      <c r="M6" s="3"/>
      <c r="N6" s="11">
        <v>487237</v>
      </c>
      <c r="O6" s="14">
        <f t="shared" si="3"/>
        <v>3.1860711258597393E-2</v>
      </c>
      <c r="P6" s="3">
        <v>2</v>
      </c>
      <c r="Q6" s="11">
        <v>162478</v>
      </c>
      <c r="R6" s="16">
        <f t="shared" si="4"/>
        <v>1.0624531067785055E-2</v>
      </c>
      <c r="S6" s="10"/>
      <c r="T6" s="13">
        <v>494561</v>
      </c>
      <c r="U6" s="16">
        <f t="shared" si="5"/>
        <v>3.2339631885023479E-2</v>
      </c>
      <c r="V6" s="10"/>
      <c r="W6" s="9"/>
      <c r="X6" s="9"/>
      <c r="Y6" s="10"/>
      <c r="Z6" s="9"/>
      <c r="AA6" s="9"/>
      <c r="AB6" s="10"/>
      <c r="AC6" s="13">
        <v>417888</v>
      </c>
      <c r="AD6" s="16">
        <f t="shared" si="6"/>
        <v>2.7325939750948196E-2</v>
      </c>
      <c r="AE6" s="13">
        <v>15292722</v>
      </c>
      <c r="AF6" s="16">
        <v>0.36160298991735212</v>
      </c>
      <c r="AG6" s="10">
        <v>84</v>
      </c>
      <c r="AH6" s="16">
        <v>0.36491578359576199</v>
      </c>
      <c r="AI6" s="10">
        <v>87</v>
      </c>
    </row>
    <row r="7" spans="1:35" ht="13.2" x14ac:dyDescent="0.3">
      <c r="A7" s="5">
        <v>1999</v>
      </c>
      <c r="B7" s="11">
        <v>2803820</v>
      </c>
      <c r="C7" s="14">
        <f t="shared" si="0"/>
        <v>0.28031884416440978</v>
      </c>
      <c r="D7" s="3">
        <v>36</v>
      </c>
      <c r="E7" s="11">
        <v>3578203</v>
      </c>
      <c r="F7" s="14">
        <f t="shared" si="1"/>
        <v>0.3577397012453094</v>
      </c>
      <c r="G7" s="3">
        <v>29</v>
      </c>
      <c r="H7" s="11">
        <v>1266549</v>
      </c>
      <c r="I7" s="14">
        <f t="shared" si="2"/>
        <v>0.12662637107859601</v>
      </c>
      <c r="J7" s="3">
        <v>10</v>
      </c>
      <c r="K7" s="11">
        <v>696055</v>
      </c>
      <c r="L7" s="14">
        <f t="shared" si="7"/>
        <v>6.9589821413235595E-2</v>
      </c>
      <c r="M7" s="3">
        <v>3</v>
      </c>
      <c r="N7" s="11">
        <v>185235</v>
      </c>
      <c r="O7" s="14">
        <f t="shared" si="3"/>
        <v>1.8519327595492737E-2</v>
      </c>
      <c r="P7" s="3">
        <v>2</v>
      </c>
      <c r="Q7" s="11">
        <v>268528</v>
      </c>
      <c r="R7" s="16">
        <f t="shared" si="4"/>
        <v>2.6846751426903518E-2</v>
      </c>
      <c r="S7" s="10">
        <v>2</v>
      </c>
      <c r="T7" s="13">
        <v>625378</v>
      </c>
      <c r="U7" s="16">
        <f t="shared" si="5"/>
        <v>6.2523713407369313E-2</v>
      </c>
      <c r="V7" s="10">
        <v>2</v>
      </c>
      <c r="W7" s="13">
        <v>102644</v>
      </c>
      <c r="X7" s="16">
        <f>W7/AE7</f>
        <v>1.0262087951584509E-2</v>
      </c>
      <c r="Y7" s="10"/>
      <c r="Z7" s="9"/>
      <c r="AA7" s="9"/>
      <c r="AB7" s="10"/>
      <c r="AC7" s="13">
        <v>475841</v>
      </c>
      <c r="AD7" s="16">
        <f t="shared" si="6"/>
        <v>4.7573381717099135E-2</v>
      </c>
      <c r="AE7" s="13">
        <v>10002253</v>
      </c>
      <c r="AF7" s="16">
        <v>0.23117333028931228</v>
      </c>
      <c r="AG7" s="10">
        <v>84</v>
      </c>
      <c r="AH7" s="16">
        <v>0.24024717086474848</v>
      </c>
      <c r="AI7" s="10">
        <v>87</v>
      </c>
    </row>
    <row r="8" spans="1:35" ht="13.2" x14ac:dyDescent="0.3">
      <c r="A8" s="5">
        <v>2004</v>
      </c>
      <c r="B8" s="11">
        <v>4397087</v>
      </c>
      <c r="C8" s="14">
        <f t="shared" si="0"/>
        <v>0.26716040237436922</v>
      </c>
      <c r="D8" s="3">
        <v>27</v>
      </c>
      <c r="E8" s="11">
        <v>3718683</v>
      </c>
      <c r="F8" s="14">
        <f t="shared" si="1"/>
        <v>0.22594159419241111</v>
      </c>
      <c r="G8" s="3">
        <v>19</v>
      </c>
      <c r="H8" s="11">
        <v>2452327</v>
      </c>
      <c r="I8" s="14">
        <f t="shared" si="2"/>
        <v>0.14899970550355945</v>
      </c>
      <c r="J8" s="3">
        <v>12</v>
      </c>
      <c r="K8" s="11">
        <v>2660768</v>
      </c>
      <c r="L8" s="14">
        <f t="shared" si="7"/>
        <v>0.16166426761736705</v>
      </c>
      <c r="M8" s="3">
        <v>12</v>
      </c>
      <c r="N8" s="11">
        <v>231505</v>
      </c>
      <c r="O8" s="14">
        <f t="shared" si="3"/>
        <v>1.4065896115241373E-2</v>
      </c>
      <c r="P8" s="3">
        <v>2</v>
      </c>
      <c r="Q8" s="11">
        <v>159888</v>
      </c>
      <c r="R8" s="16">
        <f t="shared" si="4"/>
        <v>9.7145547529155427E-3</v>
      </c>
      <c r="S8" s="10">
        <v>1</v>
      </c>
      <c r="T8" s="13">
        <v>1028283</v>
      </c>
      <c r="U8" s="16">
        <f t="shared" si="5"/>
        <v>6.2476930757731988E-2</v>
      </c>
      <c r="V8" s="10">
        <v>2</v>
      </c>
      <c r="W8" s="13">
        <v>808201</v>
      </c>
      <c r="X8" s="16">
        <f>W8/AE8</f>
        <v>4.9105078966908675E-2</v>
      </c>
      <c r="Y8" s="10"/>
      <c r="Z8" s="9"/>
      <c r="AA8" s="9"/>
      <c r="AB8" s="10"/>
      <c r="AC8" s="13">
        <v>1001861</v>
      </c>
      <c r="AD8" s="16">
        <f t="shared" si="6"/>
        <v>6.0871569719495637E-2</v>
      </c>
      <c r="AE8" s="13">
        <v>16458603</v>
      </c>
      <c r="AF8" s="16">
        <v>0.38200665119354255</v>
      </c>
      <c r="AG8" s="10">
        <v>75</v>
      </c>
      <c r="AH8" s="16">
        <v>0.38516604752735262</v>
      </c>
      <c r="AI8" s="10">
        <v>78</v>
      </c>
    </row>
    <row r="9" spans="1:35" ht="13.2" x14ac:dyDescent="0.3">
      <c r="A9" s="5">
        <v>2009</v>
      </c>
      <c r="B9" s="11">
        <v>4198664</v>
      </c>
      <c r="C9" s="14">
        <f t="shared" si="0"/>
        <v>0.27737385020032101</v>
      </c>
      <c r="D9" s="3">
        <v>25</v>
      </c>
      <c r="E9" s="11">
        <v>2381760</v>
      </c>
      <c r="F9" s="14">
        <f t="shared" si="1"/>
        <v>0.15734479859620026</v>
      </c>
      <c r="G9" s="3">
        <v>13</v>
      </c>
      <c r="H9" s="11">
        <v>2080613</v>
      </c>
      <c r="I9" s="14">
        <f t="shared" si="2"/>
        <v>0.13745030290274252</v>
      </c>
      <c r="J9" s="3">
        <v>11</v>
      </c>
      <c r="K9" s="11">
        <v>2498226</v>
      </c>
      <c r="L9" s="14">
        <f t="shared" si="7"/>
        <v>0.16503882289474633</v>
      </c>
      <c r="M9" s="3">
        <v>13</v>
      </c>
      <c r="N9" s="11">
        <v>321007</v>
      </c>
      <c r="O9" s="14">
        <f t="shared" si="3"/>
        <v>2.1206495097310585E-2</v>
      </c>
      <c r="P9" s="3">
        <v>2</v>
      </c>
      <c r="Q9" s="11">
        <v>126702</v>
      </c>
      <c r="R9" s="16">
        <f t="shared" si="4"/>
        <v>8.3702390970273113E-3</v>
      </c>
      <c r="S9" s="10">
        <v>1</v>
      </c>
      <c r="T9" s="13">
        <v>1303745</v>
      </c>
      <c r="U9" s="16">
        <f t="shared" si="5"/>
        <v>8.6128532868888191E-2</v>
      </c>
      <c r="V9" s="10">
        <v>2</v>
      </c>
      <c r="W9" s="13">
        <v>943598</v>
      </c>
      <c r="X9" s="16">
        <f>W9/AE9</f>
        <v>6.2336355159956246E-2</v>
      </c>
      <c r="Y9" s="10">
        <v>2</v>
      </c>
      <c r="Z9" s="9"/>
      <c r="AA9" s="9"/>
      <c r="AB9" s="10"/>
      <c r="AC9" s="13">
        <v>1282887</v>
      </c>
      <c r="AD9" s="16">
        <f t="shared" si="6"/>
        <v>8.4750603182807499E-2</v>
      </c>
      <c r="AE9" s="13">
        <v>15137202</v>
      </c>
      <c r="AF9" s="16">
        <v>0.34268944301947729</v>
      </c>
      <c r="AG9" s="10">
        <v>69</v>
      </c>
      <c r="AH9" s="16">
        <v>0.34474682820936697</v>
      </c>
      <c r="AI9" s="10">
        <v>72</v>
      </c>
    </row>
    <row r="10" spans="1:35" ht="13.2" x14ac:dyDescent="0.3">
      <c r="A10" s="5">
        <v>2014</v>
      </c>
      <c r="B10" s="11">
        <v>3788405</v>
      </c>
      <c r="C10" s="14">
        <f t="shared" si="0"/>
        <v>0.23933584705976893</v>
      </c>
      <c r="D10" s="3">
        <v>19</v>
      </c>
      <c r="E10" s="11">
        <v>4020646</v>
      </c>
      <c r="F10" s="14">
        <f t="shared" si="1"/>
        <v>0.25400787828584109</v>
      </c>
      <c r="G10" s="3">
        <v>20</v>
      </c>
      <c r="H10" s="11">
        <v>1087632</v>
      </c>
      <c r="I10" s="14">
        <f t="shared" si="2"/>
        <v>6.8712116579222812E-2</v>
      </c>
      <c r="J10" s="3">
        <v>1</v>
      </c>
      <c r="K10" s="11">
        <v>4352051</v>
      </c>
      <c r="L10" s="14">
        <f t="shared" si="7"/>
        <v>0.2749446831931418</v>
      </c>
      <c r="M10" s="3">
        <v>24</v>
      </c>
      <c r="N10" s="11">
        <v>389503</v>
      </c>
      <c r="O10" s="14">
        <f t="shared" si="3"/>
        <v>2.4607197603561705E-2</v>
      </c>
      <c r="P10" s="3">
        <v>2</v>
      </c>
      <c r="Q10" s="11">
        <v>111864</v>
      </c>
      <c r="R10" s="16">
        <f t="shared" si="4"/>
        <v>7.0671074490435927E-3</v>
      </c>
      <c r="S10" s="10">
        <v>1</v>
      </c>
      <c r="T10" s="13">
        <v>1244975</v>
      </c>
      <c r="U10" s="16">
        <f t="shared" si="5"/>
        <v>7.8652400203577985E-2</v>
      </c>
      <c r="V10" s="10">
        <v>3</v>
      </c>
      <c r="W10" s="13">
        <v>179694</v>
      </c>
      <c r="X10" s="16">
        <f>W10/AE10</f>
        <v>1.1352327879822278E-2</v>
      </c>
      <c r="Y10" s="10"/>
      <c r="Z10" s="9"/>
      <c r="AA10" s="9"/>
      <c r="AB10" s="10"/>
      <c r="AC10" s="13">
        <v>654054</v>
      </c>
      <c r="AD10" s="16">
        <f t="shared" si="6"/>
        <v>4.1320441746019794E-2</v>
      </c>
      <c r="AE10" s="13">
        <v>15828824</v>
      </c>
      <c r="AF10" s="16">
        <v>0.34977146382454655</v>
      </c>
      <c r="AG10" s="10">
        <v>70</v>
      </c>
      <c r="AH10" s="16">
        <v>0.35401047022288334</v>
      </c>
      <c r="AI10" s="10">
        <v>73</v>
      </c>
    </row>
    <row r="11" spans="1:35" ht="13.2" x14ac:dyDescent="0.3">
      <c r="A11" s="5">
        <v>2019</v>
      </c>
      <c r="B11" s="11">
        <v>1511485</v>
      </c>
      <c r="C11" s="14">
        <f t="shared" si="0"/>
        <v>9.0904066299823172E-2</v>
      </c>
      <c r="D11" s="3">
        <v>4</v>
      </c>
      <c r="E11" s="11">
        <v>2347255</v>
      </c>
      <c r="F11" s="14">
        <f t="shared" si="1"/>
        <v>0.14116913111449431</v>
      </c>
      <c r="G11" s="3">
        <v>10</v>
      </c>
      <c r="H11" s="11">
        <v>3367284</v>
      </c>
      <c r="I11" s="14">
        <f t="shared" si="2"/>
        <v>0.20251594159805342</v>
      </c>
      <c r="J11" s="3">
        <v>16</v>
      </c>
      <c r="K11" s="11">
        <v>549348</v>
      </c>
      <c r="L11" s="14">
        <f t="shared" si="7"/>
        <v>3.3039009327697766E-2</v>
      </c>
      <c r="M11" s="3"/>
      <c r="N11" s="11">
        <v>594553</v>
      </c>
      <c r="O11" s="14">
        <f t="shared" si="3"/>
        <v>3.5757738469623428E-2</v>
      </c>
      <c r="P11" s="3">
        <v>3</v>
      </c>
      <c r="Q11" s="11">
        <v>163928</v>
      </c>
      <c r="R11" s="16">
        <f t="shared" si="4"/>
        <v>9.8589941550180204E-3</v>
      </c>
      <c r="S11" s="10">
        <v>1</v>
      </c>
      <c r="T11" s="13">
        <v>2010909</v>
      </c>
      <c r="U11" s="16">
        <f t="shared" si="5"/>
        <v>0.12094053534035144</v>
      </c>
      <c r="V11" s="10">
        <v>7</v>
      </c>
      <c r="W11" s="9"/>
      <c r="X11" s="9"/>
      <c r="Y11" s="10"/>
      <c r="Z11" s="13">
        <v>5248533</v>
      </c>
      <c r="AA11" s="16">
        <f>Z11/AE11</f>
        <v>0.31565843644416569</v>
      </c>
      <c r="AB11" s="10">
        <v>29</v>
      </c>
      <c r="AC11" s="13">
        <v>833959</v>
      </c>
      <c r="AD11" s="16">
        <f t="shared" si="6"/>
        <v>5.0156147250772734E-2</v>
      </c>
      <c r="AE11" s="13">
        <v>16627254</v>
      </c>
      <c r="AF11" s="16">
        <v>0.36699999999999999</v>
      </c>
      <c r="AG11" s="10">
        <v>70</v>
      </c>
      <c r="AH11" s="16">
        <v>0.36899999999999999</v>
      </c>
      <c r="AI11" s="10">
        <v>73</v>
      </c>
    </row>
    <row r="13" spans="1:35" x14ac:dyDescent="0.35">
      <c r="E13" s="1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ED2F5-6EF4-4F73-A948-E52D2B377714}">
  <dimension ref="A1:W14"/>
  <sheetViews>
    <sheetView workbookViewId="0">
      <selection activeCell="E7" sqref="E7"/>
    </sheetView>
  </sheetViews>
  <sheetFormatPr defaultRowHeight="15" x14ac:dyDescent="0.35"/>
  <cols>
    <col min="1" max="1" width="8.796875" style="19"/>
    <col min="2" max="2" width="11.69921875" bestFit="1" customWidth="1"/>
    <col min="4" max="4" width="9.8984375" customWidth="1"/>
    <col min="5" max="5" width="11.69921875" bestFit="1" customWidth="1"/>
    <col min="7" max="7" width="10.3984375" customWidth="1"/>
    <col min="8" max="8" width="11.69921875" bestFit="1" customWidth="1"/>
    <col min="10" max="10" width="9.8984375" customWidth="1"/>
    <col min="11" max="11" width="11.69921875" bestFit="1" customWidth="1"/>
    <col min="14" max="14" width="11.69921875" bestFit="1" customWidth="1"/>
    <col min="15" max="15" width="10.296875" customWidth="1"/>
    <col min="17" max="17" width="11.69921875" bestFit="1" customWidth="1"/>
    <col min="18" max="18" width="9" customWidth="1"/>
    <col min="19" max="19" width="11.69921875" bestFit="1" customWidth="1"/>
    <col min="21" max="21" width="12.09765625" customWidth="1"/>
  </cols>
  <sheetData>
    <row r="1" spans="1:23" ht="18.600000000000001" x14ac:dyDescent="0.4">
      <c r="A1" s="17" t="s">
        <v>152</v>
      </c>
    </row>
    <row r="2" spans="1:23" s="18" customFormat="1" ht="13.2" x14ac:dyDescent="0.3">
      <c r="A2" s="5" t="s">
        <v>33</v>
      </c>
      <c r="B2" s="4" t="s">
        <v>6</v>
      </c>
      <c r="C2" s="4" t="s">
        <v>9</v>
      </c>
      <c r="D2" s="4" t="s">
        <v>23</v>
      </c>
      <c r="E2" s="4" t="s">
        <v>7</v>
      </c>
      <c r="F2" s="4" t="s">
        <v>10</v>
      </c>
      <c r="G2" s="4" t="s">
        <v>24</v>
      </c>
      <c r="H2" s="4" t="s">
        <v>8</v>
      </c>
      <c r="I2" s="4" t="s">
        <v>11</v>
      </c>
      <c r="J2" s="4" t="s">
        <v>25</v>
      </c>
      <c r="K2" s="4" t="s">
        <v>13</v>
      </c>
      <c r="L2" s="4" t="s">
        <v>12</v>
      </c>
      <c r="M2" s="4" t="s">
        <v>26</v>
      </c>
      <c r="N2" s="4" t="s">
        <v>189</v>
      </c>
      <c r="O2" s="4" t="s">
        <v>190</v>
      </c>
      <c r="P2" s="4" t="s">
        <v>27</v>
      </c>
      <c r="Q2" s="4" t="s">
        <v>3</v>
      </c>
      <c r="R2" s="4" t="s">
        <v>14</v>
      </c>
      <c r="S2" s="4" t="s">
        <v>4</v>
      </c>
      <c r="T2" s="4" t="s">
        <v>5</v>
      </c>
      <c r="U2" s="4" t="s">
        <v>28</v>
      </c>
      <c r="V2" s="4"/>
      <c r="W2" s="4"/>
    </row>
    <row r="3" spans="1:23" x14ac:dyDescent="0.35">
      <c r="A3" s="5">
        <v>1979</v>
      </c>
      <c r="B3" s="11">
        <v>170688</v>
      </c>
      <c r="C3" s="14">
        <f t="shared" ref="C3:C11" si="0">B3/S3</f>
        <v>0.29828096302419094</v>
      </c>
      <c r="D3" s="3">
        <v>1</v>
      </c>
      <c r="E3" s="11">
        <v>140622</v>
      </c>
      <c r="F3" s="14">
        <f t="shared" ref="F3:F11" si="1">E3/S3</f>
        <v>0.24573997927439409</v>
      </c>
      <c r="G3" s="3">
        <v>1</v>
      </c>
      <c r="H3" s="11">
        <v>125169</v>
      </c>
      <c r="I3" s="14">
        <f t="shared" ref="I3:I11" si="2">H3/S3</f>
        <v>0.21873552833693613</v>
      </c>
      <c r="J3" s="3">
        <v>1</v>
      </c>
      <c r="K3" s="11"/>
      <c r="L3" s="4"/>
      <c r="M3" s="3"/>
      <c r="N3" s="11">
        <v>39026</v>
      </c>
      <c r="O3" s="4"/>
      <c r="P3" s="3"/>
      <c r="Q3" s="11">
        <v>96734</v>
      </c>
      <c r="R3" s="4"/>
      <c r="S3" s="11">
        <v>572239</v>
      </c>
      <c r="T3" s="14">
        <v>0.55619986450720571</v>
      </c>
      <c r="U3" s="4">
        <v>3</v>
      </c>
      <c r="V3" s="4"/>
      <c r="W3" s="2"/>
    </row>
    <row r="4" spans="1:23" x14ac:dyDescent="0.35">
      <c r="A4" s="5">
        <v>1984</v>
      </c>
      <c r="B4" s="11">
        <v>230251</v>
      </c>
      <c r="C4" s="14">
        <f t="shared" si="0"/>
        <v>0.33597736521930727</v>
      </c>
      <c r="D4" s="3">
        <v>1</v>
      </c>
      <c r="E4" s="11">
        <v>151399</v>
      </c>
      <c r="F4" s="14">
        <f t="shared" si="1"/>
        <v>0.22091820281709049</v>
      </c>
      <c r="G4" s="3">
        <v>1</v>
      </c>
      <c r="H4" s="11">
        <v>147169</v>
      </c>
      <c r="I4" s="14">
        <f t="shared" si="2"/>
        <v>0.21474587672566126</v>
      </c>
      <c r="J4" s="3">
        <v>1</v>
      </c>
      <c r="K4" s="11">
        <v>91476</v>
      </c>
      <c r="L4" s="14">
        <f t="shared" ref="L4:L11" si="3">K4/S4</f>
        <v>0.13347983487933321</v>
      </c>
      <c r="M4" s="3"/>
      <c r="N4" s="11">
        <v>34046</v>
      </c>
      <c r="O4" s="14">
        <f>N4/S4</f>
        <v>4.967919955290763E-2</v>
      </c>
      <c r="P4" s="3"/>
      <c r="Q4" s="11">
        <v>30976</v>
      </c>
      <c r="R4" s="14">
        <f t="shared" ref="R4:R11" si="4">Q4/S4</f>
        <v>4.5199520805700139E-2</v>
      </c>
      <c r="S4" s="11">
        <v>685317</v>
      </c>
      <c r="T4" s="14">
        <v>0.64406768510730283</v>
      </c>
      <c r="U4" s="4">
        <v>3</v>
      </c>
      <c r="V4" s="4"/>
      <c r="W4" s="2"/>
    </row>
    <row r="5" spans="1:23" x14ac:dyDescent="0.35">
      <c r="A5" s="5">
        <v>1989</v>
      </c>
      <c r="B5" s="11">
        <v>160110</v>
      </c>
      <c r="C5" s="14">
        <f t="shared" si="0"/>
        <v>0.29937678918346855</v>
      </c>
      <c r="D5" s="3">
        <v>1</v>
      </c>
      <c r="E5" s="11">
        <v>136335</v>
      </c>
      <c r="F5" s="14">
        <f t="shared" si="1"/>
        <v>0.2549218321986646</v>
      </c>
      <c r="G5" s="3">
        <v>1</v>
      </c>
      <c r="H5" s="11">
        <v>118785</v>
      </c>
      <c r="I5" s="14">
        <f t="shared" si="2"/>
        <v>0.22210650117518152</v>
      </c>
      <c r="J5" s="3">
        <v>1</v>
      </c>
      <c r="K5" s="11">
        <v>48914</v>
      </c>
      <c r="L5" s="14">
        <f t="shared" si="3"/>
        <v>9.1460347674225104E-2</v>
      </c>
      <c r="M5" s="3"/>
      <c r="N5" s="11">
        <v>27905</v>
      </c>
      <c r="O5" s="14">
        <f>N5/S5</f>
        <v>5.2177311237053839E-2</v>
      </c>
      <c r="P5" s="3"/>
      <c r="Q5" s="11">
        <v>42762</v>
      </c>
      <c r="R5" s="14">
        <f t="shared" si="4"/>
        <v>7.9957218531406415E-2</v>
      </c>
      <c r="S5" s="11">
        <v>534811</v>
      </c>
      <c r="T5" s="14">
        <v>0.48318203337031507</v>
      </c>
      <c r="U5" s="4">
        <v>3</v>
      </c>
      <c r="V5" s="4"/>
      <c r="W5" s="2"/>
    </row>
    <row r="6" spans="1:23" x14ac:dyDescent="0.35">
      <c r="A6" s="5">
        <v>1994</v>
      </c>
      <c r="B6" s="11">
        <v>163246</v>
      </c>
      <c r="C6" s="14">
        <f t="shared" si="0"/>
        <v>0.29157996452728951</v>
      </c>
      <c r="D6" s="3">
        <v>1</v>
      </c>
      <c r="E6" s="11">
        <v>161992</v>
      </c>
      <c r="F6" s="14">
        <f t="shared" si="1"/>
        <v>0.28934014685630693</v>
      </c>
      <c r="G6" s="3">
        <v>1</v>
      </c>
      <c r="H6" s="11">
        <v>133459</v>
      </c>
      <c r="I6" s="14">
        <f t="shared" si="2"/>
        <v>0.23837625721823219</v>
      </c>
      <c r="J6" s="3">
        <v>1</v>
      </c>
      <c r="K6" s="11">
        <v>55215</v>
      </c>
      <c r="L6" s="14">
        <f t="shared" si="3"/>
        <v>9.8621636924483849E-2</v>
      </c>
      <c r="M6" s="3"/>
      <c r="N6" s="11">
        <v>23157</v>
      </c>
      <c r="O6" s="14">
        <f>N6/S6</f>
        <v>4.1361609096446122E-2</v>
      </c>
      <c r="P6" s="3"/>
      <c r="Q6" s="11">
        <v>22798</v>
      </c>
      <c r="R6" s="14">
        <f t="shared" si="4"/>
        <v>4.0720385377241382E-2</v>
      </c>
      <c r="S6" s="11">
        <v>559867</v>
      </c>
      <c r="T6" s="14">
        <v>0.48671220825103623</v>
      </c>
      <c r="U6" s="4">
        <v>3</v>
      </c>
      <c r="V6" s="4"/>
      <c r="W6" s="2"/>
    </row>
    <row r="7" spans="1:23" x14ac:dyDescent="0.35">
      <c r="A7" s="5">
        <v>1999</v>
      </c>
      <c r="B7" s="11">
        <v>192762</v>
      </c>
      <c r="C7" s="14">
        <f t="shared" si="0"/>
        <v>0.28397089608417098</v>
      </c>
      <c r="D7" s="3">
        <v>1</v>
      </c>
      <c r="E7" s="11">
        <v>190731</v>
      </c>
      <c r="F7" s="14">
        <f t="shared" si="1"/>
        <v>0.2809788909693301</v>
      </c>
      <c r="G7" s="3">
        <v>1</v>
      </c>
      <c r="H7" s="11">
        <v>119507</v>
      </c>
      <c r="I7" s="14">
        <f t="shared" si="2"/>
        <v>0.17605394153583703</v>
      </c>
      <c r="J7" s="3">
        <v>1</v>
      </c>
      <c r="K7" s="11">
        <v>117643</v>
      </c>
      <c r="L7" s="14">
        <f t="shared" si="3"/>
        <v>0.17330795555156164</v>
      </c>
      <c r="M7" s="3"/>
      <c r="N7" s="11">
        <v>14391</v>
      </c>
      <c r="O7" s="14">
        <f>N7/S7</f>
        <v>2.1200367113576868E-2</v>
      </c>
      <c r="P7" s="3"/>
      <c r="Q7" s="11">
        <v>43775</v>
      </c>
      <c r="R7" s="14">
        <f t="shared" si="4"/>
        <v>6.448794874552341E-2</v>
      </c>
      <c r="S7" s="11">
        <v>678809</v>
      </c>
      <c r="T7" s="14">
        <v>0.56980190664539032</v>
      </c>
      <c r="U7" s="4">
        <v>3</v>
      </c>
      <c r="V7" s="4"/>
      <c r="W7" s="2"/>
    </row>
    <row r="8" spans="1:23" x14ac:dyDescent="0.35">
      <c r="A8" s="5">
        <v>2004</v>
      </c>
      <c r="B8" s="11">
        <v>175761</v>
      </c>
      <c r="C8" s="14">
        <f t="shared" si="0"/>
        <v>0.3199860908066422</v>
      </c>
      <c r="D8" s="3">
        <v>1</v>
      </c>
      <c r="E8" s="11">
        <v>87559</v>
      </c>
      <c r="F8" s="14">
        <f t="shared" si="1"/>
        <v>0.15940773052576387</v>
      </c>
      <c r="G8" s="3"/>
      <c r="H8" s="11">
        <v>91164</v>
      </c>
      <c r="I8" s="14">
        <f t="shared" si="2"/>
        <v>0.16597090356960151</v>
      </c>
      <c r="J8" s="3">
        <v>1</v>
      </c>
      <c r="K8" s="11">
        <v>144541</v>
      </c>
      <c r="L8" s="14">
        <f t="shared" si="3"/>
        <v>0.26314773784447554</v>
      </c>
      <c r="M8" s="3">
        <v>1</v>
      </c>
      <c r="N8" s="11"/>
      <c r="O8" s="14"/>
      <c r="P8" s="3"/>
      <c r="Q8" s="11">
        <v>50252</v>
      </c>
      <c r="R8" s="14">
        <f t="shared" si="4"/>
        <v>9.1487537253516896E-2</v>
      </c>
      <c r="S8" s="11">
        <v>549277</v>
      </c>
      <c r="T8" s="14">
        <v>0.51206569780612654</v>
      </c>
      <c r="U8" s="4">
        <v>3</v>
      </c>
      <c r="V8" s="4"/>
      <c r="W8" s="2"/>
    </row>
    <row r="9" spans="1:23" x14ac:dyDescent="0.35">
      <c r="A9" s="5">
        <v>2009</v>
      </c>
      <c r="B9" s="11">
        <v>88346</v>
      </c>
      <c r="C9" s="14">
        <f t="shared" si="0"/>
        <v>0.18231759160661368</v>
      </c>
      <c r="D9" s="3">
        <v>1</v>
      </c>
      <c r="E9" s="11">
        <v>78489</v>
      </c>
      <c r="F9" s="14">
        <f t="shared" si="1"/>
        <v>0.1619759292736683</v>
      </c>
      <c r="G9" s="3"/>
      <c r="H9" s="11">
        <v>82893</v>
      </c>
      <c r="I9" s="14">
        <f t="shared" si="2"/>
        <v>0.17106436195240335</v>
      </c>
      <c r="J9" s="3">
        <v>1</v>
      </c>
      <c r="K9" s="11">
        <v>126184</v>
      </c>
      <c r="L9" s="14">
        <f t="shared" si="3"/>
        <v>0.26040299480778917</v>
      </c>
      <c r="M9" s="3">
        <v>1</v>
      </c>
      <c r="N9" s="11">
        <v>26699</v>
      </c>
      <c r="O9" s="14">
        <f>N9/S9</f>
        <v>5.5098107195628306E-2</v>
      </c>
      <c r="P9" s="3"/>
      <c r="Q9" s="11">
        <v>81961</v>
      </c>
      <c r="R9" s="14">
        <f t="shared" si="4"/>
        <v>0.16914101516389721</v>
      </c>
      <c r="S9" s="11">
        <v>484572</v>
      </c>
      <c r="T9" s="14">
        <v>0.42432654190663749</v>
      </c>
      <c r="U9" s="4">
        <v>3</v>
      </c>
      <c r="V9" s="4"/>
      <c r="W9" s="2"/>
    </row>
    <row r="10" spans="1:23" x14ac:dyDescent="0.35">
      <c r="A10" s="5">
        <v>2014</v>
      </c>
      <c r="B10" s="11">
        <v>131163</v>
      </c>
      <c r="C10" s="14">
        <f t="shared" si="0"/>
        <v>0.2094837292872829</v>
      </c>
      <c r="D10" s="3">
        <v>1</v>
      </c>
      <c r="E10" s="11">
        <v>81594</v>
      </c>
      <c r="F10" s="14">
        <f t="shared" si="1"/>
        <v>0.13031583150329407</v>
      </c>
      <c r="G10" s="3"/>
      <c r="H10" s="11">
        <v>83438</v>
      </c>
      <c r="I10" s="14">
        <f t="shared" si="2"/>
        <v>0.13326093032541425</v>
      </c>
      <c r="J10" s="3">
        <v>1</v>
      </c>
      <c r="K10" s="11">
        <v>159813</v>
      </c>
      <c r="L10" s="14">
        <f t="shared" si="3"/>
        <v>0.25524136554202437</v>
      </c>
      <c r="M10" s="3">
        <v>1</v>
      </c>
      <c r="N10" s="11">
        <v>44432</v>
      </c>
      <c r="O10" s="14">
        <f>N10/S10</f>
        <v>7.0963465761629069E-2</v>
      </c>
      <c r="P10" s="4"/>
      <c r="Q10" s="11">
        <v>125685</v>
      </c>
      <c r="R10" s="14">
        <f t="shared" si="4"/>
        <v>0.20073467758035535</v>
      </c>
      <c r="S10" s="11">
        <v>626125</v>
      </c>
      <c r="T10" s="14">
        <v>0.51038457870295273</v>
      </c>
      <c r="U10" s="4">
        <v>3</v>
      </c>
      <c r="V10" s="4"/>
      <c r="W10" s="2"/>
    </row>
    <row r="11" spans="1:23" x14ac:dyDescent="0.35">
      <c r="A11" s="5">
        <v>2019</v>
      </c>
      <c r="B11" s="11">
        <v>124991</v>
      </c>
      <c r="C11" s="14">
        <f t="shared" si="0"/>
        <v>0.21834510443761607</v>
      </c>
      <c r="D11" s="3">
        <v>1</v>
      </c>
      <c r="E11" s="11">
        <v>78589</v>
      </c>
      <c r="F11" s="14">
        <f t="shared" si="1"/>
        <v>0.13728607189835915</v>
      </c>
      <c r="G11" s="3"/>
      <c r="H11" s="11">
        <v>53052</v>
      </c>
      <c r="I11" s="14">
        <f t="shared" si="2"/>
        <v>9.2675828504647589E-2</v>
      </c>
      <c r="J11" s="3"/>
      <c r="K11" s="11">
        <v>126951</v>
      </c>
      <c r="L11" s="14">
        <f t="shared" si="3"/>
        <v>0.22176900219583648</v>
      </c>
      <c r="M11" s="3">
        <v>1</v>
      </c>
      <c r="N11" s="11">
        <v>105928</v>
      </c>
      <c r="O11" s="14">
        <f>N11/S11</f>
        <v>0.18504420496569987</v>
      </c>
      <c r="P11" s="4">
        <v>1</v>
      </c>
      <c r="Q11" s="11">
        <v>82936</v>
      </c>
      <c r="R11" s="14">
        <f t="shared" si="4"/>
        <v>0.14487978799784085</v>
      </c>
      <c r="S11" s="11">
        <v>572447</v>
      </c>
      <c r="T11" s="14">
        <v>0.44800000000000001</v>
      </c>
      <c r="U11" s="4">
        <v>3</v>
      </c>
      <c r="V11" s="4"/>
      <c r="W11" s="2"/>
    </row>
    <row r="12" spans="1:23" x14ac:dyDescent="0.35">
      <c r="A12" s="20"/>
      <c r="B12" s="2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2"/>
    </row>
    <row r="13" spans="1:23" x14ac:dyDescent="0.35">
      <c r="A13" s="20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x14ac:dyDescent="0.35">
      <c r="A14" s="20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F3DA4-CE3F-4C70-8981-4BDC00697409}">
  <dimension ref="A1:G43"/>
  <sheetViews>
    <sheetView workbookViewId="0"/>
  </sheetViews>
  <sheetFormatPr defaultRowHeight="15" x14ac:dyDescent="0.35"/>
  <cols>
    <col min="1" max="1" width="23.09765625" customWidth="1"/>
    <col min="2" max="2" width="12.19921875" bestFit="1" customWidth="1"/>
    <col min="3" max="3" width="11" bestFit="1" customWidth="1"/>
    <col min="4" max="5" width="12.09765625" bestFit="1" customWidth="1"/>
    <col min="6" max="7" width="12.19921875" bestFit="1" customWidth="1"/>
    <col min="40" max="40" width="9.3984375" bestFit="1" customWidth="1"/>
  </cols>
  <sheetData>
    <row r="1" spans="1:7" ht="19.5" customHeight="1" x14ac:dyDescent="0.4">
      <c r="A1" s="21" t="s">
        <v>78</v>
      </c>
    </row>
    <row r="2" spans="1:7" x14ac:dyDescent="0.35">
      <c r="A2" s="4" t="s">
        <v>85</v>
      </c>
      <c r="B2" s="5" t="s">
        <v>79</v>
      </c>
      <c r="C2" s="5" t="s">
        <v>80</v>
      </c>
      <c r="D2" s="5" t="s">
        <v>81</v>
      </c>
      <c r="E2" s="5" t="s">
        <v>82</v>
      </c>
      <c r="F2" s="5" t="s">
        <v>83</v>
      </c>
      <c r="G2" s="5" t="s">
        <v>84</v>
      </c>
    </row>
    <row r="3" spans="1:7" x14ac:dyDescent="0.35">
      <c r="A3" s="4" t="s">
        <v>38</v>
      </c>
      <c r="B3" s="11">
        <v>384671</v>
      </c>
      <c r="C3" s="11">
        <v>340515</v>
      </c>
      <c r="D3" s="11">
        <v>314925</v>
      </c>
      <c r="E3" s="11">
        <v>401677</v>
      </c>
      <c r="F3" s="11">
        <v>353865</v>
      </c>
      <c r="G3" s="11">
        <v>443047</v>
      </c>
    </row>
    <row r="4" spans="1:7" x14ac:dyDescent="0.35">
      <c r="A4" s="4" t="s">
        <v>39</v>
      </c>
      <c r="B4" s="14">
        <f t="shared" ref="B4:G4" si="0">B3/B38</f>
        <v>0.37601586677849264</v>
      </c>
      <c r="C4" s="14">
        <f t="shared" si="0"/>
        <v>0.40020896922228893</v>
      </c>
      <c r="D4" s="14">
        <f t="shared" si="0"/>
        <v>0.32197891404898515</v>
      </c>
      <c r="E4" s="14">
        <f t="shared" si="0"/>
        <v>0.42315062475441217</v>
      </c>
      <c r="F4" s="14">
        <f t="shared" si="0"/>
        <v>0.34713747572053599</v>
      </c>
      <c r="G4" s="14">
        <f t="shared" si="0"/>
        <v>0.39852032417943206</v>
      </c>
    </row>
    <row r="5" spans="1:7" x14ac:dyDescent="0.35">
      <c r="A5" s="4" t="s">
        <v>50</v>
      </c>
      <c r="B5" s="23">
        <v>27</v>
      </c>
      <c r="C5" s="23">
        <v>30</v>
      </c>
      <c r="D5" s="23">
        <v>24</v>
      </c>
      <c r="E5" s="23">
        <v>28</v>
      </c>
      <c r="F5" s="23">
        <v>27</v>
      </c>
      <c r="G5" s="3">
        <v>27</v>
      </c>
    </row>
    <row r="6" spans="1:7" x14ac:dyDescent="0.35">
      <c r="A6" s="4" t="s">
        <v>58</v>
      </c>
      <c r="B6" s="24">
        <v>361657</v>
      </c>
      <c r="C6" s="24">
        <v>310658</v>
      </c>
      <c r="D6" s="24">
        <v>288955</v>
      </c>
      <c r="E6" s="24">
        <v>349935</v>
      </c>
      <c r="F6" s="24">
        <v>319196</v>
      </c>
      <c r="G6" s="24">
        <v>401770</v>
      </c>
    </row>
    <row r="7" spans="1:7" x14ac:dyDescent="0.35">
      <c r="A7" s="4" t="s">
        <v>59</v>
      </c>
      <c r="B7" s="14">
        <v>0.35392134124442071</v>
      </c>
      <c r="C7" s="14">
        <v>0.36567273103941844</v>
      </c>
      <c r="D7" s="14">
        <v>0.29642916496543859</v>
      </c>
      <c r="E7" s="14">
        <v>0.36878430331082279</v>
      </c>
      <c r="F7" s="14">
        <v>0.31455846455703562</v>
      </c>
      <c r="G7" s="14">
        <v>0.36169525124752766</v>
      </c>
    </row>
    <row r="8" spans="1:7" x14ac:dyDescent="0.35">
      <c r="A8" s="4" t="s">
        <v>60</v>
      </c>
      <c r="B8" s="23">
        <v>1</v>
      </c>
      <c r="C8" s="23"/>
      <c r="D8" s="23">
        <v>2</v>
      </c>
      <c r="E8" s="23">
        <v>2</v>
      </c>
      <c r="F8" s="23">
        <v>2</v>
      </c>
      <c r="G8" s="3">
        <v>3</v>
      </c>
    </row>
    <row r="9" spans="1:7" x14ac:dyDescent="0.35">
      <c r="A9" s="4" t="s">
        <v>40</v>
      </c>
      <c r="B9" s="11">
        <v>290565</v>
      </c>
      <c r="C9" s="11">
        <v>180185</v>
      </c>
      <c r="D9" s="11">
        <v>219121</v>
      </c>
      <c r="E9" s="11">
        <v>182907</v>
      </c>
      <c r="F9" s="11">
        <v>209374</v>
      </c>
      <c r="G9" s="11">
        <v>225376</v>
      </c>
    </row>
    <row r="10" spans="1:7" x14ac:dyDescent="0.35">
      <c r="A10" s="4" t="s">
        <v>41</v>
      </c>
      <c r="B10" s="14">
        <f t="shared" ref="B10:G10" si="1">B9/B38</f>
        <v>0.28402726051741023</v>
      </c>
      <c r="C10" s="14">
        <f t="shared" si="1"/>
        <v>0.21177232462393181</v>
      </c>
      <c r="D10" s="14">
        <f t="shared" si="1"/>
        <v>0.22402902794420157</v>
      </c>
      <c r="E10" s="14">
        <f t="shared" si="1"/>
        <v>0.1926851956222419</v>
      </c>
      <c r="F10" s="14">
        <f t="shared" si="1"/>
        <v>0.2053934744648708</v>
      </c>
      <c r="G10" s="14">
        <f t="shared" si="1"/>
        <v>0.20272548190657805</v>
      </c>
    </row>
    <row r="11" spans="1:7" x14ac:dyDescent="0.35">
      <c r="A11" s="4" t="s">
        <v>51</v>
      </c>
      <c r="B11" s="23">
        <v>9</v>
      </c>
      <c r="C11" s="23">
        <v>5</v>
      </c>
      <c r="D11" s="23">
        <v>7</v>
      </c>
      <c r="E11" s="23">
        <v>5</v>
      </c>
      <c r="F11" s="23">
        <v>6</v>
      </c>
      <c r="G11" s="3">
        <v>5</v>
      </c>
    </row>
    <row r="12" spans="1:7" x14ac:dyDescent="0.35">
      <c r="A12" s="4" t="s">
        <v>61</v>
      </c>
      <c r="B12" s="24">
        <v>312048</v>
      </c>
      <c r="C12" s="24">
        <v>167653</v>
      </c>
      <c r="D12" s="24">
        <v>204757</v>
      </c>
      <c r="E12" s="24">
        <v>169799</v>
      </c>
      <c r="F12" s="24">
        <v>211548</v>
      </c>
      <c r="G12" s="24">
        <v>230161</v>
      </c>
    </row>
    <row r="13" spans="1:7" x14ac:dyDescent="0.35">
      <c r="A13" s="4" t="s">
        <v>62</v>
      </c>
      <c r="B13" s="14">
        <v>0.30537345244980463</v>
      </c>
      <c r="C13" s="14">
        <v>0.1973428348117596</v>
      </c>
      <c r="D13" s="14">
        <v>0.2100532834899147</v>
      </c>
      <c r="E13" s="14">
        <v>0.1789452495974235</v>
      </c>
      <c r="F13" s="14">
        <v>0.20847446102116496</v>
      </c>
      <c r="G13" s="14">
        <v>0.20720347642278472</v>
      </c>
    </row>
    <row r="14" spans="1:7" x14ac:dyDescent="0.35">
      <c r="A14" s="4" t="s">
        <v>63</v>
      </c>
      <c r="B14" s="23">
        <v>8</v>
      </c>
      <c r="C14" s="23">
        <v>7</v>
      </c>
      <c r="D14" s="23">
        <v>8</v>
      </c>
      <c r="E14" s="23">
        <v>6</v>
      </c>
      <c r="F14" s="23">
        <v>6</v>
      </c>
      <c r="G14" s="3">
        <v>8</v>
      </c>
    </row>
    <row r="15" spans="1:7" x14ac:dyDescent="0.35">
      <c r="A15" s="4" t="s">
        <v>42</v>
      </c>
      <c r="B15" s="11">
        <v>162133</v>
      </c>
      <c r="C15" s="11">
        <v>169832</v>
      </c>
      <c r="D15" s="11">
        <v>218730</v>
      </c>
      <c r="E15" s="11">
        <v>237389</v>
      </c>
      <c r="F15" s="11">
        <v>215597</v>
      </c>
      <c r="G15" s="11">
        <v>289802</v>
      </c>
    </row>
    <row r="16" spans="1:7" x14ac:dyDescent="0.35">
      <c r="A16" s="4" t="s">
        <v>43</v>
      </c>
      <c r="B16" s="14">
        <f t="shared" ref="B16:G16" si="2">B15/B38</f>
        <v>0.15848499244392572</v>
      </c>
      <c r="C16" s="14">
        <f t="shared" si="2"/>
        <v>0.19960439234970495</v>
      </c>
      <c r="D16" s="14">
        <f t="shared" si="2"/>
        <v>0.22362927004821631</v>
      </c>
      <c r="E16" s="14">
        <f t="shared" si="2"/>
        <v>0.25007979958978271</v>
      </c>
      <c r="F16" s="14">
        <f t="shared" si="2"/>
        <v>0.2114981655516098</v>
      </c>
      <c r="G16" s="14">
        <f t="shared" si="2"/>
        <v>0.26067660313205543</v>
      </c>
    </row>
    <row r="17" spans="1:7" x14ac:dyDescent="0.35">
      <c r="A17" s="4" t="s">
        <v>52</v>
      </c>
      <c r="B17" s="23">
        <v>1</v>
      </c>
      <c r="C17" s="23">
        <v>1</v>
      </c>
      <c r="D17" s="23">
        <v>5</v>
      </c>
      <c r="E17" s="23">
        <v>6</v>
      </c>
      <c r="F17" s="23">
        <v>6</v>
      </c>
      <c r="G17" s="3">
        <v>8</v>
      </c>
    </row>
    <row r="18" spans="1:7" x14ac:dyDescent="0.35">
      <c r="A18" s="4" t="s">
        <v>64</v>
      </c>
      <c r="B18" s="24">
        <v>168206</v>
      </c>
      <c r="C18" s="24">
        <v>162725</v>
      </c>
      <c r="D18" s="24">
        <v>209154</v>
      </c>
      <c r="E18" s="24">
        <v>213773</v>
      </c>
      <c r="F18" s="24">
        <v>190846</v>
      </c>
      <c r="G18" s="24">
        <v>278560</v>
      </c>
    </row>
    <row r="19" spans="1:7" x14ac:dyDescent="0.35">
      <c r="A19" s="4" t="s">
        <v>65</v>
      </c>
      <c r="B19" s="14">
        <v>0.16460815945871096</v>
      </c>
      <c r="C19" s="14">
        <v>0.19154213044051452</v>
      </c>
      <c r="D19" s="14">
        <v>0.21456401712786191</v>
      </c>
      <c r="E19" s="14">
        <v>0.22528791596057701</v>
      </c>
      <c r="F19" s="14">
        <v>0.18807323627755992</v>
      </c>
      <c r="G19" s="14">
        <v>0.25077489406255149</v>
      </c>
    </row>
    <row r="20" spans="1:7" x14ac:dyDescent="0.35">
      <c r="A20" s="4" t="s">
        <v>66</v>
      </c>
      <c r="B20" s="23">
        <v>8</v>
      </c>
      <c r="C20" s="23">
        <v>10</v>
      </c>
      <c r="D20" s="23">
        <v>7</v>
      </c>
      <c r="E20" s="23">
        <v>8</v>
      </c>
      <c r="F20" s="23">
        <v>5</v>
      </c>
      <c r="G20" s="3">
        <v>8</v>
      </c>
    </row>
    <row r="21" spans="1:7" x14ac:dyDescent="0.35">
      <c r="A21" s="4" t="s">
        <v>44</v>
      </c>
      <c r="B21" s="4"/>
      <c r="C21" s="11">
        <v>19795</v>
      </c>
      <c r="D21" s="11">
        <v>18047</v>
      </c>
      <c r="E21" s="11"/>
      <c r="F21" s="11">
        <v>127038</v>
      </c>
      <c r="G21" s="11">
        <v>8586</v>
      </c>
    </row>
    <row r="22" spans="1:7" x14ac:dyDescent="0.35">
      <c r="A22" s="4" t="s">
        <v>45</v>
      </c>
      <c r="B22" s="4"/>
      <c r="C22" s="14">
        <f>C21/C38</f>
        <v>2.326516172783933E-2</v>
      </c>
      <c r="D22" s="14">
        <f>D21/D38</f>
        <v>1.84512295366898E-2</v>
      </c>
      <c r="E22" s="14">
        <f>E21/E38</f>
        <v>0</v>
      </c>
      <c r="F22" s="14">
        <f>F21/F38</f>
        <v>0.12462280994329887</v>
      </c>
      <c r="G22" s="14">
        <f>G21/G38</f>
        <v>7.7230982342835043E-3</v>
      </c>
    </row>
    <row r="23" spans="1:7" x14ac:dyDescent="0.35">
      <c r="A23" s="4" t="s">
        <v>53</v>
      </c>
      <c r="B23" s="23"/>
      <c r="C23" s="23"/>
      <c r="D23" s="23"/>
      <c r="E23" s="23"/>
      <c r="F23" s="23"/>
      <c r="G23" s="3"/>
    </row>
    <row r="24" spans="1:7" x14ac:dyDescent="0.35">
      <c r="A24" s="4" t="s">
        <v>67</v>
      </c>
      <c r="B24" s="3"/>
      <c r="C24" s="24">
        <v>29427</v>
      </c>
      <c r="D24" s="24">
        <v>38349</v>
      </c>
      <c r="E24" s="24">
        <v>43256</v>
      </c>
      <c r="F24" s="25">
        <v>132138</v>
      </c>
      <c r="G24" s="24">
        <v>17341</v>
      </c>
    </row>
    <row r="25" spans="1:7" x14ac:dyDescent="0.35">
      <c r="A25" s="4" t="s">
        <v>68</v>
      </c>
      <c r="B25" s="4"/>
      <c r="C25" s="14">
        <v>3.4638256398666592E-2</v>
      </c>
      <c r="D25" s="14">
        <v>3.9340942524820829E-2</v>
      </c>
      <c r="E25" s="14">
        <v>4.5585991181256377E-2</v>
      </c>
      <c r="F25" s="14">
        <v>0.13021819317797709</v>
      </c>
      <c r="G25" s="14">
        <v>1.5611313318275076E-2</v>
      </c>
    </row>
    <row r="26" spans="1:7" x14ac:dyDescent="0.35">
      <c r="A26" s="4" t="s">
        <v>69</v>
      </c>
      <c r="B26" s="23"/>
      <c r="C26" s="23"/>
      <c r="D26" s="23"/>
      <c r="E26" s="23"/>
      <c r="F26" s="23">
        <v>7</v>
      </c>
      <c r="G26" s="3"/>
    </row>
    <row r="27" spans="1:7" x14ac:dyDescent="0.35">
      <c r="A27" s="4" t="s">
        <v>46</v>
      </c>
      <c r="B27" s="11">
        <v>137657</v>
      </c>
      <c r="C27" s="11">
        <v>120250</v>
      </c>
      <c r="D27" s="11">
        <v>144410</v>
      </c>
      <c r="E27" s="11">
        <v>100259</v>
      </c>
      <c r="F27" s="11">
        <v>78165</v>
      </c>
      <c r="G27" s="11">
        <v>54202</v>
      </c>
    </row>
    <row r="28" spans="1:7" x14ac:dyDescent="0.35">
      <c r="A28" s="4" t="s">
        <v>47</v>
      </c>
      <c r="B28" s="14">
        <f t="shared" ref="B28:G28" si="3">B27/B38</f>
        <v>0.13455970471682804</v>
      </c>
      <c r="C28" s="14">
        <f t="shared" si="3"/>
        <v>0.14133042171117352</v>
      </c>
      <c r="D28" s="14">
        <f t="shared" si="3"/>
        <v>0.14764459784969103</v>
      </c>
      <c r="E28" s="14">
        <f t="shared" si="3"/>
        <v>0.10561883923464029</v>
      </c>
      <c r="F28" s="14">
        <f t="shared" si="3"/>
        <v>7.6678961721830918E-2</v>
      </c>
      <c r="G28" s="14">
        <f t="shared" si="3"/>
        <v>4.8754643663479445E-2</v>
      </c>
    </row>
    <row r="29" spans="1:7" x14ac:dyDescent="0.35">
      <c r="A29" s="4" t="s">
        <v>54</v>
      </c>
      <c r="B29" s="23">
        <v>3</v>
      </c>
      <c r="C29" s="23">
        <v>3</v>
      </c>
      <c r="D29" s="23">
        <v>3</v>
      </c>
      <c r="E29" s="23">
        <v>1</v>
      </c>
      <c r="F29" s="23">
        <v>1</v>
      </c>
      <c r="G29" s="3"/>
    </row>
    <row r="30" spans="1:7" x14ac:dyDescent="0.35">
      <c r="A30" s="4" t="s">
        <v>70</v>
      </c>
      <c r="B30" s="24">
        <v>128008</v>
      </c>
      <c r="C30" s="24">
        <v>108013</v>
      </c>
      <c r="D30" s="24">
        <v>114500</v>
      </c>
      <c r="E30" s="24">
        <v>76349</v>
      </c>
      <c r="F30" s="24">
        <v>65504</v>
      </c>
      <c r="G30" s="24">
        <v>48217</v>
      </c>
    </row>
    <row r="31" spans="1:7" x14ac:dyDescent="0.35">
      <c r="A31" s="4" t="s">
        <v>71</v>
      </c>
      <c r="B31" s="14">
        <v>0.12526997417446864</v>
      </c>
      <c r="C31" s="14">
        <v>0.12714112850066858</v>
      </c>
      <c r="D31" s="14">
        <v>0.11746167876846815</v>
      </c>
      <c r="E31" s="14">
        <v>8.0461550783654134E-2</v>
      </c>
      <c r="F31" s="14">
        <v>6.4552305362047341E-2</v>
      </c>
      <c r="G31" s="14">
        <v>4.3407571320412279E-2</v>
      </c>
    </row>
    <row r="32" spans="1:7" x14ac:dyDescent="0.35">
      <c r="A32" s="4" t="s">
        <v>72</v>
      </c>
      <c r="B32" s="23">
        <v>3</v>
      </c>
      <c r="C32" s="23">
        <v>3</v>
      </c>
      <c r="D32" s="23">
        <v>3</v>
      </c>
      <c r="E32" s="23">
        <v>4</v>
      </c>
      <c r="F32" s="23"/>
      <c r="G32" s="3">
        <v>1</v>
      </c>
    </row>
    <row r="33" spans="1:7" x14ac:dyDescent="0.35">
      <c r="A33" s="4" t="s">
        <v>48</v>
      </c>
      <c r="B33" s="11">
        <v>47992</v>
      </c>
      <c r="C33" s="11">
        <v>20266</v>
      </c>
      <c r="D33" s="11">
        <v>62859</v>
      </c>
      <c r="E33" s="11">
        <v>27021</v>
      </c>
      <c r="F33" s="11">
        <v>35341</v>
      </c>
      <c r="G33" s="11">
        <v>90717</v>
      </c>
    </row>
    <row r="34" spans="1:7" x14ac:dyDescent="0.35">
      <c r="A34" s="4" t="s">
        <v>49</v>
      </c>
      <c r="B34" s="14">
        <f t="shared" ref="B34:G34" si="4">B33/B38</f>
        <v>4.6912175543343322E-2</v>
      </c>
      <c r="C34" s="14">
        <f t="shared" si="4"/>
        <v>2.3818730365061474E-2</v>
      </c>
      <c r="D34" s="14">
        <f t="shared" si="4"/>
        <v>6.4266960572216106E-2</v>
      </c>
      <c r="E34" s="14">
        <f t="shared" si="4"/>
        <v>2.8465540798922943E-2</v>
      </c>
      <c r="F34" s="14">
        <f t="shared" si="4"/>
        <v>3.4669112597853595E-2</v>
      </c>
      <c r="G34" s="14">
        <f t="shared" si="4"/>
        <v>8.1599848884171516E-2</v>
      </c>
    </row>
    <row r="35" spans="1:7" x14ac:dyDescent="0.35">
      <c r="A35" s="4" t="s">
        <v>55</v>
      </c>
      <c r="B35" s="23">
        <v>0</v>
      </c>
      <c r="C35" s="23">
        <v>1</v>
      </c>
      <c r="D35" s="23">
        <v>1</v>
      </c>
      <c r="E35" s="23"/>
      <c r="F35" s="23"/>
      <c r="G35" s="3"/>
    </row>
    <row r="36" spans="1:7" x14ac:dyDescent="0.35">
      <c r="A36" s="4" t="s">
        <v>73</v>
      </c>
      <c r="B36" s="24">
        <v>51938</v>
      </c>
      <c r="C36" s="24">
        <f>100503-C34</f>
        <v>100502.97618126964</v>
      </c>
      <c r="D36" s="24">
        <f>157420-D34</f>
        <v>157419.93573303943</v>
      </c>
      <c r="E36" s="24">
        <f>139032-E34</f>
        <v>139031.97153445921</v>
      </c>
      <c r="F36" s="24">
        <v>95511</v>
      </c>
      <c r="G36" s="24">
        <v>134748</v>
      </c>
    </row>
    <row r="37" spans="1:7" x14ac:dyDescent="0.35">
      <c r="A37" s="4" t="s">
        <v>74</v>
      </c>
      <c r="B37" s="14">
        <v>5.0827072672595092E-2</v>
      </c>
      <c r="C37" s="14">
        <v>8.3662918808972253E-2</v>
      </c>
      <c r="D37" s="14">
        <v>0.12215091312349582</v>
      </c>
      <c r="E37" s="14">
        <v>0.1009349891662662</v>
      </c>
      <c r="F37" s="14">
        <v>9.4123339604215053E-2</v>
      </c>
      <c r="G37" s="14">
        <v>0.12130749362844877</v>
      </c>
    </row>
    <row r="38" spans="1:7" x14ac:dyDescent="0.35">
      <c r="A38" s="4" t="s">
        <v>56</v>
      </c>
      <c r="B38" s="11">
        <v>1023018</v>
      </c>
      <c r="C38" s="11">
        <v>850843</v>
      </c>
      <c r="D38" s="11">
        <v>978092</v>
      </c>
      <c r="E38" s="11">
        <v>949253</v>
      </c>
      <c r="F38" s="11">
        <v>1019380</v>
      </c>
      <c r="G38" s="11">
        <v>1111730</v>
      </c>
    </row>
    <row r="39" spans="1:7" x14ac:dyDescent="0.35">
      <c r="A39" s="4" t="s">
        <v>57</v>
      </c>
      <c r="B39" s="23">
        <v>40</v>
      </c>
      <c r="C39" s="23">
        <v>40</v>
      </c>
      <c r="D39" s="23">
        <v>40</v>
      </c>
      <c r="E39" s="23">
        <v>40</v>
      </c>
      <c r="F39" s="23">
        <v>40</v>
      </c>
      <c r="G39" s="23">
        <v>40</v>
      </c>
    </row>
    <row r="40" spans="1:7" x14ac:dyDescent="0.35">
      <c r="A40" s="4" t="s">
        <v>77</v>
      </c>
      <c r="B40" s="24">
        <f>SUM(B35:B39)</f>
        <v>1074996.0508270727</v>
      </c>
      <c r="C40" s="24">
        <f>SUM(C35:C39)</f>
        <v>951387.05984418839</v>
      </c>
      <c r="D40" s="24">
        <f>SUM(D35:D39)</f>
        <v>1135553.0578839525</v>
      </c>
      <c r="E40" s="24">
        <f>SUM(E35:E39)</f>
        <v>1088325.0724694484</v>
      </c>
      <c r="F40" s="24">
        <f>SUM(F35:F39)</f>
        <v>1114931.0941233395</v>
      </c>
      <c r="G40" s="24">
        <v>1110797</v>
      </c>
    </row>
    <row r="41" spans="1:7" x14ac:dyDescent="0.35">
      <c r="A41" s="4" t="s">
        <v>76</v>
      </c>
      <c r="B41" s="23">
        <v>20</v>
      </c>
      <c r="C41" s="23">
        <v>20</v>
      </c>
      <c r="D41" s="23">
        <v>20</v>
      </c>
      <c r="E41" s="23">
        <v>20</v>
      </c>
      <c r="F41" s="23">
        <v>20</v>
      </c>
      <c r="G41" s="23">
        <v>20</v>
      </c>
    </row>
    <row r="42" spans="1:7" x14ac:dyDescent="0.35">
      <c r="A42" s="4" t="s">
        <v>86</v>
      </c>
      <c r="B42" s="26">
        <v>0.46392912484915766</v>
      </c>
      <c r="C42" s="26">
        <v>0.3816218107281979</v>
      </c>
      <c r="D42" s="26">
        <v>0.43507069456194991</v>
      </c>
      <c r="E42" s="26">
        <v>0.41456893483307022</v>
      </c>
      <c r="F42" s="26">
        <v>0.45500000000000002</v>
      </c>
      <c r="G42" s="26">
        <v>0.46530364879123509</v>
      </c>
    </row>
    <row r="43" spans="1:7" x14ac:dyDescent="0.35">
      <c r="A43" s="4" t="s">
        <v>87</v>
      </c>
      <c r="B43" s="26">
        <v>0.46340262217378941</v>
      </c>
      <c r="C43" s="26">
        <v>0.38104276881605886</v>
      </c>
      <c r="D43" s="26">
        <v>0.43360013380056778</v>
      </c>
      <c r="E43" s="26">
        <v>0.41440952774010964</v>
      </c>
      <c r="F43" s="26">
        <v>0.45300000000000001</v>
      </c>
      <c r="G43" s="26">
        <v>0.46479215056494494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CE357-2C4F-43E1-A724-ECAAA527813E}">
  <dimension ref="A1:G44"/>
  <sheetViews>
    <sheetView workbookViewId="0"/>
  </sheetViews>
  <sheetFormatPr defaultRowHeight="15" x14ac:dyDescent="0.35"/>
  <cols>
    <col min="1" max="1" width="23.296875" customWidth="1"/>
    <col min="2" max="5" width="13.09765625" bestFit="1" customWidth="1"/>
    <col min="6" max="7" width="13.19921875" bestFit="1" customWidth="1"/>
  </cols>
  <sheetData>
    <row r="1" spans="1:7" ht="19.5" customHeight="1" x14ac:dyDescent="0.4">
      <c r="A1" s="21" t="s">
        <v>104</v>
      </c>
    </row>
    <row r="2" spans="1:7" x14ac:dyDescent="0.35">
      <c r="A2" s="18" t="s">
        <v>85</v>
      </c>
      <c r="B2" s="22" t="s">
        <v>79</v>
      </c>
      <c r="C2" s="22" t="s">
        <v>80</v>
      </c>
      <c r="D2" s="22" t="s">
        <v>81</v>
      </c>
      <c r="E2" s="22" t="s">
        <v>82</v>
      </c>
      <c r="F2" s="22" t="s">
        <v>83</v>
      </c>
      <c r="G2" s="22" t="s">
        <v>84</v>
      </c>
    </row>
    <row r="3" spans="1:7" x14ac:dyDescent="0.35">
      <c r="A3" s="18" t="s">
        <v>89</v>
      </c>
      <c r="B3" s="27">
        <v>672768</v>
      </c>
      <c r="C3" s="27">
        <v>455742</v>
      </c>
      <c r="D3" s="27">
        <v>664227</v>
      </c>
      <c r="E3" s="27">
        <v>902915</v>
      </c>
      <c r="F3" s="27">
        <v>1059898</v>
      </c>
      <c r="G3" s="27">
        <v>1291384</v>
      </c>
    </row>
    <row r="4" spans="1:7" x14ac:dyDescent="0.35">
      <c r="A4" s="18" t="s">
        <v>100</v>
      </c>
      <c r="B4" s="28">
        <v>0.28720232504926385</v>
      </c>
      <c r="C4" s="28">
        <v>0.23778745002854021</v>
      </c>
      <c r="D4" s="28">
        <v>0.32931808344864616</v>
      </c>
      <c r="E4" s="28">
        <v>0.45389126496273013</v>
      </c>
      <c r="F4" s="28">
        <v>0.46504009821188036</v>
      </c>
      <c r="G4" s="28">
        <v>0.48003217601050924</v>
      </c>
    </row>
    <row r="5" spans="1:7" x14ac:dyDescent="0.35">
      <c r="A5" s="18" t="s">
        <v>91</v>
      </c>
      <c r="B5" s="18">
        <v>7</v>
      </c>
      <c r="C5" s="18">
        <v>9</v>
      </c>
      <c r="D5" s="18">
        <v>21</v>
      </c>
      <c r="E5" s="18">
        <v>53</v>
      </c>
      <c r="F5" s="18">
        <v>59</v>
      </c>
      <c r="G5" s="18">
        <v>62</v>
      </c>
    </row>
    <row r="6" spans="1:7" x14ac:dyDescent="0.35">
      <c r="A6" s="18" t="s">
        <v>94</v>
      </c>
      <c r="B6" s="27">
        <v>638644</v>
      </c>
      <c r="C6" s="27">
        <v>399659</v>
      </c>
      <c r="D6" s="27">
        <v>633401</v>
      </c>
      <c r="E6" s="27">
        <v>876421</v>
      </c>
      <c r="F6" s="27">
        <v>953587</v>
      </c>
      <c r="G6" s="27">
        <v>1094404</v>
      </c>
    </row>
    <row r="7" spans="1:7" x14ac:dyDescent="0.35">
      <c r="A7" s="18" t="s">
        <v>102</v>
      </c>
      <c r="B7" s="28">
        <v>0.27305151023081653</v>
      </c>
      <c r="C7" s="28">
        <v>0.20860651480725798</v>
      </c>
      <c r="D7" s="28">
        <v>0.31017913869843478</v>
      </c>
      <c r="E7" s="28">
        <v>0.44022762296844142</v>
      </c>
      <c r="F7" s="28">
        <v>0.41718761142399152</v>
      </c>
      <c r="G7" s="28">
        <v>0.42496505234382281</v>
      </c>
    </row>
    <row r="8" spans="1:7" x14ac:dyDescent="0.35">
      <c r="A8" s="18" t="s">
        <v>97</v>
      </c>
      <c r="B8" s="18">
        <v>28</v>
      </c>
      <c r="C8" s="18">
        <v>18</v>
      </c>
      <c r="D8" s="18">
        <v>26</v>
      </c>
      <c r="E8" s="18">
        <v>16</v>
      </c>
      <c r="F8" s="18">
        <v>4</v>
      </c>
      <c r="G8" s="18">
        <v>2</v>
      </c>
    </row>
    <row r="9" spans="1:7" x14ac:dyDescent="0.35">
      <c r="A9" s="18" t="s">
        <v>42</v>
      </c>
      <c r="B9" s="27">
        <v>364425</v>
      </c>
      <c r="C9" s="27">
        <v>318279</v>
      </c>
      <c r="D9" s="27">
        <v>334742</v>
      </c>
      <c r="E9" s="27">
        <v>276652</v>
      </c>
      <c r="F9" s="27">
        <v>501844</v>
      </c>
      <c r="G9" s="27">
        <v>592526</v>
      </c>
    </row>
    <row r="10" spans="1:7" x14ac:dyDescent="0.35">
      <c r="A10" s="18" t="s">
        <v>43</v>
      </c>
      <c r="B10" s="28">
        <v>0.155571768137126</v>
      </c>
      <c r="C10" s="28">
        <v>0.16606490472160509</v>
      </c>
      <c r="D10" s="28">
        <v>0.16596222961392221</v>
      </c>
      <c r="E10" s="28">
        <v>0.13907170246863684</v>
      </c>
      <c r="F10" s="28">
        <v>0.22018871914754334</v>
      </c>
      <c r="G10" s="28">
        <v>0.22025326713262902</v>
      </c>
    </row>
    <row r="11" spans="1:7" x14ac:dyDescent="0.35">
      <c r="A11" s="18" t="s">
        <v>52</v>
      </c>
      <c r="B11" s="18"/>
      <c r="C11" s="18">
        <v>3</v>
      </c>
      <c r="D11" s="18">
        <v>4</v>
      </c>
      <c r="E11" s="18">
        <v>3</v>
      </c>
      <c r="F11" s="18">
        <v>7</v>
      </c>
      <c r="G11" s="18">
        <v>5</v>
      </c>
    </row>
    <row r="12" spans="1:7" x14ac:dyDescent="0.35">
      <c r="A12" s="18" t="s">
        <v>64</v>
      </c>
      <c r="B12" s="27">
        <v>359109</v>
      </c>
      <c r="C12" s="27">
        <v>296929</v>
      </c>
      <c r="D12" s="27">
        <v>284005</v>
      </c>
      <c r="E12" s="27">
        <v>245967</v>
      </c>
      <c r="F12" s="27">
        <v>524220</v>
      </c>
      <c r="G12" s="27">
        <v>637131</v>
      </c>
    </row>
    <row r="13" spans="1:7" x14ac:dyDescent="0.35">
      <c r="A13" s="18" t="s">
        <v>65</v>
      </c>
      <c r="B13" s="28">
        <v>0.15353664136432549</v>
      </c>
      <c r="C13" s="28">
        <v>0.15498543467106785</v>
      </c>
      <c r="D13" s="28">
        <v>0.13907844522829765</v>
      </c>
      <c r="E13" s="28">
        <v>0.12354960428684231</v>
      </c>
      <c r="F13" s="28">
        <v>0.22934256618503066</v>
      </c>
      <c r="G13" s="28">
        <v>0.2474026125314529</v>
      </c>
    </row>
    <row r="14" spans="1:7" x14ac:dyDescent="0.35">
      <c r="A14" s="18" t="s">
        <v>66</v>
      </c>
      <c r="B14" s="18">
        <v>18</v>
      </c>
      <c r="C14" s="18">
        <v>15</v>
      </c>
      <c r="D14" s="18">
        <v>13</v>
      </c>
      <c r="E14" s="18">
        <v>12</v>
      </c>
      <c r="F14" s="18">
        <v>24</v>
      </c>
      <c r="G14" s="18">
        <v>26</v>
      </c>
    </row>
    <row r="15" spans="1:7" x14ac:dyDescent="0.35">
      <c r="A15" s="18" t="s">
        <v>38</v>
      </c>
      <c r="B15" s="27">
        <v>908346</v>
      </c>
      <c r="C15" s="27">
        <v>663585</v>
      </c>
      <c r="D15" s="27">
        <v>648374</v>
      </c>
      <c r="E15" s="27">
        <v>630461</v>
      </c>
      <c r="F15" s="27">
        <v>514261</v>
      </c>
      <c r="G15" s="27">
        <v>584392</v>
      </c>
    </row>
    <row r="16" spans="1:7" x14ac:dyDescent="0.35">
      <c r="A16" s="18" t="s">
        <v>39</v>
      </c>
      <c r="B16" s="28">
        <v>0.38776975591763968</v>
      </c>
      <c r="C16" s="28">
        <v>0.34623138755521515</v>
      </c>
      <c r="D16" s="28">
        <v>0.32145830121017743</v>
      </c>
      <c r="E16" s="28">
        <v>0.31692987800586747</v>
      </c>
      <c r="F16" s="28">
        <v>0.22563679330137409</v>
      </c>
      <c r="G16" s="28">
        <v>0.21722970348334308</v>
      </c>
    </row>
    <row r="17" spans="1:7" x14ac:dyDescent="0.35">
      <c r="A17" s="18" t="s">
        <v>50</v>
      </c>
      <c r="B17" s="18">
        <v>53</v>
      </c>
      <c r="C17" s="18">
        <v>46</v>
      </c>
      <c r="D17" s="18">
        <v>37</v>
      </c>
      <c r="E17" s="18">
        <v>15</v>
      </c>
      <c r="F17" s="18">
        <v>3</v>
      </c>
      <c r="G17" s="18">
        <v>2</v>
      </c>
    </row>
    <row r="18" spans="1:7" x14ac:dyDescent="0.35">
      <c r="A18" s="18" t="s">
        <v>58</v>
      </c>
      <c r="B18" s="27">
        <v>786818</v>
      </c>
      <c r="C18" s="27">
        <v>561375</v>
      </c>
      <c r="D18" s="27">
        <v>595415</v>
      </c>
      <c r="E18" s="27">
        <v>523469</v>
      </c>
      <c r="F18" s="27">
        <v>435919</v>
      </c>
      <c r="G18" s="27">
        <v>485819</v>
      </c>
    </row>
    <row r="19" spans="1:7" x14ac:dyDescent="0.35">
      <c r="A19" s="18" t="s">
        <v>59</v>
      </c>
      <c r="B19" s="28">
        <v>0.33640313410411843</v>
      </c>
      <c r="C19" s="28">
        <v>0.29301600176631692</v>
      </c>
      <c r="D19" s="28">
        <v>0.29157723443462913</v>
      </c>
      <c r="E19" s="28">
        <v>0.26293928781677645</v>
      </c>
      <c r="F19" s="28">
        <v>0.19071149919654415</v>
      </c>
      <c r="G19" s="28">
        <v>0.18864705973719362</v>
      </c>
    </row>
    <row r="20" spans="1:7" x14ac:dyDescent="0.35">
      <c r="A20" s="18" t="s">
        <v>60</v>
      </c>
      <c r="B20" s="18">
        <v>3</v>
      </c>
      <c r="C20" s="18">
        <v>4</v>
      </c>
      <c r="D20" s="18">
        <v>9</v>
      </c>
      <c r="E20" s="18">
        <v>22</v>
      </c>
      <c r="F20" s="18">
        <v>21</v>
      </c>
      <c r="G20" s="18">
        <v>20</v>
      </c>
    </row>
    <row r="21" spans="1:7" x14ac:dyDescent="0.35">
      <c r="A21" s="18" t="s">
        <v>46</v>
      </c>
      <c r="B21" s="27">
        <v>333179</v>
      </c>
      <c r="C21" s="27">
        <v>294347</v>
      </c>
      <c r="D21" s="27">
        <v>326232</v>
      </c>
      <c r="E21" s="27">
        <v>157714</v>
      </c>
      <c r="F21" s="27">
        <v>178238</v>
      </c>
      <c r="G21" s="27">
        <v>187806</v>
      </c>
    </row>
    <row r="22" spans="1:7" x14ac:dyDescent="0.35">
      <c r="A22" s="18" t="s">
        <v>47</v>
      </c>
      <c r="B22" s="28">
        <v>0.14223295914429443</v>
      </c>
      <c r="C22" s="28">
        <v>0.15357817044194022</v>
      </c>
      <c r="D22" s="28">
        <v>0.16174304416956664</v>
      </c>
      <c r="E22" s="28">
        <v>7.92821106774525E-2</v>
      </c>
      <c r="F22" s="28">
        <v>7.8203579047313176E-2</v>
      </c>
      <c r="G22" s="28">
        <v>6.9811088605581065E-2</v>
      </c>
    </row>
    <row r="23" spans="1:7" x14ac:dyDescent="0.35">
      <c r="A23" s="18" t="s">
        <v>54</v>
      </c>
      <c r="B23" s="18">
        <v>12</v>
      </c>
      <c r="C23" s="18">
        <v>13</v>
      </c>
      <c r="D23" s="18">
        <v>11</v>
      </c>
      <c r="E23" s="18">
        <v>2</v>
      </c>
      <c r="F23" s="18">
        <v>4</v>
      </c>
      <c r="G23" s="18">
        <v>4</v>
      </c>
    </row>
    <row r="24" spans="1:7" x14ac:dyDescent="0.35">
      <c r="A24" s="18" t="s">
        <v>70</v>
      </c>
      <c r="B24" s="27">
        <v>290760</v>
      </c>
      <c r="C24" s="27">
        <v>225774</v>
      </c>
      <c r="D24" s="27">
        <v>230671</v>
      </c>
      <c r="E24" s="27">
        <v>103472</v>
      </c>
      <c r="F24" s="27">
        <v>119284</v>
      </c>
      <c r="G24" s="27">
        <v>137151</v>
      </c>
    </row>
    <row r="25" spans="1:7" x14ac:dyDescent="0.35">
      <c r="A25" s="18" t="s">
        <v>71</v>
      </c>
      <c r="B25" s="28">
        <v>0.12431410475117939</v>
      </c>
      <c r="C25" s="28">
        <v>0.11784528128753227</v>
      </c>
      <c r="D25" s="28">
        <v>0.11296056069173659</v>
      </c>
      <c r="E25" s="28">
        <v>5.1974145534840636E-2</v>
      </c>
      <c r="F25" s="28">
        <v>5.2185911763792295E-2</v>
      </c>
      <c r="G25" s="28">
        <v>5.325673324842347E-2</v>
      </c>
    </row>
    <row r="26" spans="1:7" x14ac:dyDescent="0.35">
      <c r="A26" s="18" t="s">
        <v>72</v>
      </c>
      <c r="B26" s="18">
        <v>5</v>
      </c>
      <c r="C26" s="18">
        <v>4</v>
      </c>
      <c r="D26" s="18">
        <v>5</v>
      </c>
      <c r="E26" s="18">
        <v>3</v>
      </c>
      <c r="F26" s="18">
        <v>1</v>
      </c>
      <c r="G26" s="18"/>
    </row>
    <row r="27" spans="1:7" x14ac:dyDescent="0.35">
      <c r="A27" s="18" t="s">
        <v>90</v>
      </c>
      <c r="B27" s="18"/>
      <c r="C27" s="18"/>
      <c r="D27" s="27">
        <v>2971</v>
      </c>
      <c r="E27" s="27"/>
      <c r="F27" s="27">
        <v>13172</v>
      </c>
      <c r="G27" s="27">
        <v>32903</v>
      </c>
    </row>
    <row r="28" spans="1:7" x14ac:dyDescent="0.35">
      <c r="A28" s="18" t="s">
        <v>101</v>
      </c>
      <c r="B28" s="18"/>
      <c r="C28" s="18"/>
      <c r="D28" s="28">
        <v>1.472996469468913E-3</v>
      </c>
      <c r="E28" s="28"/>
      <c r="F28" s="28">
        <v>5.7793374208149166E-3</v>
      </c>
      <c r="G28" s="28">
        <v>1.2230675528947072E-2</v>
      </c>
    </row>
    <row r="29" spans="1:7" x14ac:dyDescent="0.35">
      <c r="A29" s="18" t="s">
        <v>92</v>
      </c>
      <c r="B29" s="18"/>
      <c r="C29" s="18"/>
      <c r="D29" s="18"/>
      <c r="E29" s="18"/>
      <c r="F29" s="18"/>
      <c r="G29" s="18"/>
    </row>
    <row r="30" spans="1:7" x14ac:dyDescent="0.35">
      <c r="A30" s="18" t="s">
        <v>95</v>
      </c>
      <c r="B30" s="27">
        <v>84023</v>
      </c>
      <c r="C30" s="27">
        <v>132138</v>
      </c>
      <c r="D30" s="27">
        <v>82584</v>
      </c>
      <c r="E30" s="27">
        <v>86939</v>
      </c>
      <c r="F30" s="27">
        <v>150426</v>
      </c>
      <c r="G30" s="27">
        <v>220324</v>
      </c>
    </row>
    <row r="31" spans="1:7" x14ac:dyDescent="0.35">
      <c r="A31" s="18" t="s">
        <v>103</v>
      </c>
      <c r="B31" s="28">
        <v>3.5923937348701147E-2</v>
      </c>
      <c r="C31" s="28">
        <v>6.8970916840610255E-2</v>
      </c>
      <c r="D31" s="28">
        <v>4.0441732788978127E-2</v>
      </c>
      <c r="E31" s="28">
        <v>4.3669594080074904E-2</v>
      </c>
      <c r="F31" s="28">
        <v>6.5810317921768377E-2</v>
      </c>
      <c r="G31" s="28">
        <v>8.5553415550930378E-2</v>
      </c>
    </row>
    <row r="32" spans="1:7" x14ac:dyDescent="0.35">
      <c r="A32" s="18" t="s">
        <v>98</v>
      </c>
      <c r="B32" s="18">
        <v>1</v>
      </c>
      <c r="C32" s="18">
        <v>7</v>
      </c>
      <c r="D32" s="18">
        <v>2</v>
      </c>
      <c r="E32" s="18">
        <v>2</v>
      </c>
      <c r="F32" s="18">
        <v>6</v>
      </c>
      <c r="G32" s="18">
        <v>8</v>
      </c>
    </row>
    <row r="33" spans="1:7" x14ac:dyDescent="0.35">
      <c r="A33" s="18" t="s">
        <v>48</v>
      </c>
      <c r="B33" s="27">
        <v>63770</v>
      </c>
      <c r="C33" s="27">
        <v>184641</v>
      </c>
      <c r="D33" s="27">
        <v>43402</v>
      </c>
      <c r="E33" s="27">
        <v>21534</v>
      </c>
      <c r="F33" s="27">
        <v>11741</v>
      </c>
      <c r="G33" s="27">
        <v>1192</v>
      </c>
    </row>
    <row r="34" spans="1:7" x14ac:dyDescent="0.35">
      <c r="A34" s="18" t="s">
        <v>49</v>
      </c>
      <c r="B34" s="28">
        <v>2.7223191751675997E-2</v>
      </c>
      <c r="C34" s="28">
        <v>9.6338087252699323E-2</v>
      </c>
      <c r="D34" s="28">
        <v>2.151834155768757E-2</v>
      </c>
      <c r="E34" s="28">
        <v>1.0825043885313048E-2</v>
      </c>
      <c r="F34" s="28">
        <v>5.1514728710740912E-3</v>
      </c>
      <c r="G34" s="28">
        <v>4.4308923899051485E-4</v>
      </c>
    </row>
    <row r="35" spans="1:7" x14ac:dyDescent="0.35">
      <c r="A35" s="18" t="s">
        <v>93</v>
      </c>
      <c r="B35" s="18">
        <v>1</v>
      </c>
      <c r="C35" s="18">
        <v>2</v>
      </c>
      <c r="D35" s="18"/>
      <c r="E35" s="18"/>
      <c r="F35" s="18"/>
      <c r="G35" s="18"/>
    </row>
    <row r="36" spans="1:7" x14ac:dyDescent="0.35">
      <c r="A36" s="18" t="s">
        <v>73</v>
      </c>
      <c r="B36" s="27">
        <v>179560</v>
      </c>
      <c r="C36" s="27">
        <v>299976</v>
      </c>
      <c r="D36" s="27">
        <v>215973</v>
      </c>
      <c r="E36" s="27">
        <v>154568</v>
      </c>
      <c r="F36" s="27">
        <v>102315</v>
      </c>
      <c r="G36" s="27">
        <v>451</v>
      </c>
    </row>
    <row r="37" spans="1:7" x14ac:dyDescent="0.35">
      <c r="A37" s="18" t="s">
        <v>74</v>
      </c>
      <c r="B37" s="28">
        <v>7.6770672200859036E-2</v>
      </c>
      <c r="C37" s="28">
        <v>0.15657585062721474</v>
      </c>
      <c r="D37" s="28">
        <v>0.10576288815792373</v>
      </c>
      <c r="E37" s="28">
        <v>7.7639745313024283E-2</v>
      </c>
      <c r="F37" s="28">
        <v>4.4762093508873016E-2</v>
      </c>
      <c r="G37" s="28">
        <v>1.7512658817681962E-4</v>
      </c>
    </row>
    <row r="38" spans="1:7" x14ac:dyDescent="0.35">
      <c r="A38" s="18" t="s">
        <v>75</v>
      </c>
      <c r="B38" s="18">
        <v>1</v>
      </c>
      <c r="C38" s="18">
        <v>8</v>
      </c>
      <c r="D38" s="18">
        <v>1</v>
      </c>
      <c r="E38" s="18">
        <v>1</v>
      </c>
      <c r="F38" s="18"/>
      <c r="G38" s="18"/>
    </row>
    <row r="39" spans="1:7" x14ac:dyDescent="0.35">
      <c r="A39" s="18" t="s">
        <v>56</v>
      </c>
      <c r="B39" s="27">
        <v>2342488</v>
      </c>
      <c r="C39" s="27">
        <v>1916594</v>
      </c>
      <c r="D39" s="27">
        <v>2016977</v>
      </c>
      <c r="E39" s="27">
        <v>1989276</v>
      </c>
      <c r="F39" s="27">
        <v>2279154</v>
      </c>
      <c r="G39" s="27">
        <v>2690203</v>
      </c>
    </row>
    <row r="40" spans="1:7" x14ac:dyDescent="0.35">
      <c r="A40" s="18" t="s">
        <v>57</v>
      </c>
      <c r="B40" s="18">
        <v>73</v>
      </c>
      <c r="C40" s="18">
        <v>73</v>
      </c>
      <c r="D40" s="18">
        <v>73</v>
      </c>
      <c r="E40" s="18">
        <v>73</v>
      </c>
      <c r="F40" s="18">
        <v>73</v>
      </c>
      <c r="G40" s="18">
        <v>73</v>
      </c>
    </row>
    <row r="41" spans="1:7" x14ac:dyDescent="0.35">
      <c r="A41" s="18" t="s">
        <v>96</v>
      </c>
      <c r="B41" s="27">
        <v>2338914</v>
      </c>
      <c r="C41" s="27">
        <v>1915851</v>
      </c>
      <c r="D41" s="27">
        <v>2042049</v>
      </c>
      <c r="E41" s="27">
        <v>1990836</v>
      </c>
      <c r="F41" s="27">
        <v>2285751</v>
      </c>
      <c r="G41" s="27">
        <v>2575280</v>
      </c>
    </row>
    <row r="42" spans="1:7" x14ac:dyDescent="0.35">
      <c r="A42" s="18" t="s">
        <v>99</v>
      </c>
      <c r="B42" s="18">
        <v>56</v>
      </c>
      <c r="C42" s="18">
        <v>56</v>
      </c>
      <c r="D42" s="18">
        <v>56</v>
      </c>
      <c r="E42" s="18">
        <v>56</v>
      </c>
      <c r="F42" s="18">
        <v>56</v>
      </c>
      <c r="G42" s="18">
        <v>56</v>
      </c>
    </row>
    <row r="43" spans="1:7" x14ac:dyDescent="0.35">
      <c r="A43" s="18" t="s">
        <v>86</v>
      </c>
      <c r="B43" s="28">
        <v>0.5875711202988112</v>
      </c>
      <c r="C43" s="28">
        <v>0.49429110809653742</v>
      </c>
      <c r="D43" s="28">
        <v>0.51737125209374868</v>
      </c>
      <c r="E43" s="28">
        <v>0.50351844497413278</v>
      </c>
      <c r="F43" s="28">
        <v>0.55600000000000005</v>
      </c>
      <c r="G43" s="28">
        <v>0.63300000000000001</v>
      </c>
    </row>
    <row r="44" spans="1:7" x14ac:dyDescent="0.35">
      <c r="A44" s="18" t="s">
        <v>87</v>
      </c>
      <c r="B44" s="28">
        <v>0.58667464647100598</v>
      </c>
      <c r="C44" s="28">
        <v>0.49409948780902962</v>
      </c>
      <c r="D44" s="28">
        <v>0.52380242708111557</v>
      </c>
      <c r="E44" s="28">
        <v>0.50391330660930034</v>
      </c>
      <c r="F44" s="28">
        <v>0.55700000000000005</v>
      </c>
      <c r="G44" s="28">
        <v>0.63500000000000001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82BFE-750C-4104-8449-C0EC1DCE9819}">
  <dimension ref="A1:I41"/>
  <sheetViews>
    <sheetView workbookViewId="0"/>
  </sheetViews>
  <sheetFormatPr defaultRowHeight="15" x14ac:dyDescent="0.35"/>
  <cols>
    <col min="1" max="1" width="32.09765625" customWidth="1"/>
    <col min="2" max="8" width="10.796875" bestFit="1" customWidth="1"/>
  </cols>
  <sheetData>
    <row r="1" spans="1:8" ht="19.5" customHeight="1" x14ac:dyDescent="0.4">
      <c r="A1" s="21" t="s">
        <v>144</v>
      </c>
    </row>
    <row r="2" spans="1:8" x14ac:dyDescent="0.35">
      <c r="A2" s="18" t="s">
        <v>85</v>
      </c>
      <c r="B2" s="18" t="s">
        <v>145</v>
      </c>
      <c r="C2" s="18" t="s">
        <v>80</v>
      </c>
      <c r="D2" s="18" t="s">
        <v>81</v>
      </c>
      <c r="E2" s="18" t="s">
        <v>82</v>
      </c>
      <c r="F2" s="18" t="s">
        <v>83</v>
      </c>
      <c r="G2" s="18" t="s">
        <v>146</v>
      </c>
      <c r="H2" s="18" t="s">
        <v>147</v>
      </c>
    </row>
    <row r="3" spans="1:8" x14ac:dyDescent="0.35">
      <c r="A3" s="18" t="s">
        <v>106</v>
      </c>
      <c r="B3" s="27">
        <v>146917</v>
      </c>
      <c r="C3" s="27">
        <v>177944</v>
      </c>
      <c r="D3" s="27">
        <v>207721</v>
      </c>
      <c r="E3" s="27">
        <v>198436</v>
      </c>
      <c r="F3" s="27">
        <v>202567</v>
      </c>
      <c r="G3" s="27">
        <v>225413</v>
      </c>
      <c r="H3" s="27">
        <v>184002</v>
      </c>
    </row>
    <row r="4" spans="1:8" x14ac:dyDescent="0.35">
      <c r="A4" s="18" t="s">
        <v>132</v>
      </c>
      <c r="B4" s="28">
        <v>0.18132416738147103</v>
      </c>
      <c r="C4" s="28">
        <v>0.25339160326323001</v>
      </c>
      <c r="D4" s="28">
        <v>0.30090842849547961</v>
      </c>
      <c r="E4" s="28">
        <v>0.29987275854044071</v>
      </c>
      <c r="F4" s="28">
        <v>0.29175296337370915</v>
      </c>
      <c r="G4" s="28">
        <v>0.2806034992499829</v>
      </c>
      <c r="H4" s="28">
        <v>0.21328619450562189</v>
      </c>
    </row>
    <row r="5" spans="1:8" x14ac:dyDescent="0.35">
      <c r="A5" s="18" t="s">
        <v>119</v>
      </c>
      <c r="B5" s="18">
        <v>20</v>
      </c>
      <c r="C5" s="18">
        <v>30</v>
      </c>
      <c r="D5" s="18">
        <v>36</v>
      </c>
      <c r="E5" s="18">
        <v>38</v>
      </c>
      <c r="F5" s="18">
        <v>38</v>
      </c>
      <c r="G5" s="18">
        <v>28</v>
      </c>
      <c r="H5" s="18">
        <v>25</v>
      </c>
    </row>
    <row r="6" spans="1:8" x14ac:dyDescent="0.35">
      <c r="A6" s="18" t="s">
        <v>107</v>
      </c>
      <c r="B6" s="27">
        <v>142858</v>
      </c>
      <c r="C6" s="27">
        <v>162758</v>
      </c>
      <c r="D6" s="27">
        <v>180573</v>
      </c>
      <c r="E6" s="27">
        <v>178222</v>
      </c>
      <c r="F6" s="27">
        <v>166785</v>
      </c>
      <c r="G6" s="27">
        <v>224245</v>
      </c>
      <c r="H6" s="27">
        <v>250385</v>
      </c>
    </row>
    <row r="7" spans="1:8" x14ac:dyDescent="0.35">
      <c r="A7" s="18" t="s">
        <v>133</v>
      </c>
      <c r="B7" s="28">
        <v>0.17631457151849131</v>
      </c>
      <c r="C7" s="28">
        <v>0.23176679496873617</v>
      </c>
      <c r="D7" s="28">
        <v>0.26158134063823224</v>
      </c>
      <c r="E7" s="28">
        <v>0.26932574115883423</v>
      </c>
      <c r="F7" s="28">
        <v>0.24021690599300025</v>
      </c>
      <c r="G7" s="28">
        <v>0.27914952415926503</v>
      </c>
      <c r="H7" s="28">
        <v>0.29023414860322244</v>
      </c>
    </row>
    <row r="8" spans="1:8" x14ac:dyDescent="0.35">
      <c r="A8" s="18" t="s">
        <v>120</v>
      </c>
      <c r="B8" s="18">
        <v>18</v>
      </c>
      <c r="C8" s="18">
        <v>24</v>
      </c>
      <c r="D8" s="18">
        <v>28</v>
      </c>
      <c r="E8" s="18">
        <v>29</v>
      </c>
      <c r="F8" s="18">
        <v>28</v>
      </c>
      <c r="G8" s="18">
        <v>27</v>
      </c>
      <c r="H8" s="18">
        <v>27</v>
      </c>
    </row>
    <row r="9" spans="1:8" x14ac:dyDescent="0.35">
      <c r="A9" s="18" t="s">
        <v>108</v>
      </c>
      <c r="B9" s="27">
        <v>172225</v>
      </c>
      <c r="C9" s="27">
        <v>156931</v>
      </c>
      <c r="D9" s="27">
        <v>103145</v>
      </c>
      <c r="E9" s="27">
        <v>87531</v>
      </c>
      <c r="F9" s="27">
        <v>87302</v>
      </c>
      <c r="G9" s="27">
        <v>103314</v>
      </c>
      <c r="H9" s="27">
        <v>96390</v>
      </c>
    </row>
    <row r="10" spans="1:8" x14ac:dyDescent="0.35">
      <c r="A10" s="18" t="s">
        <v>134</v>
      </c>
      <c r="B10" s="28">
        <v>0.21255916420341994</v>
      </c>
      <c r="C10" s="28">
        <v>0.22346916834342234</v>
      </c>
      <c r="D10" s="28">
        <v>0.14941772790024235</v>
      </c>
      <c r="E10" s="28">
        <v>0.13227520423614322</v>
      </c>
      <c r="F10" s="28">
        <v>0.12573922311359478</v>
      </c>
      <c r="G10" s="28">
        <v>0.12860957407741672</v>
      </c>
      <c r="H10" s="28">
        <v>0.11173061319114408</v>
      </c>
    </row>
    <row r="11" spans="1:8" x14ac:dyDescent="0.35">
      <c r="A11" s="18" t="s">
        <v>121</v>
      </c>
      <c r="B11" s="18">
        <v>28</v>
      </c>
      <c r="C11" s="18">
        <v>27</v>
      </c>
      <c r="D11" s="18">
        <v>18</v>
      </c>
      <c r="E11" s="18">
        <v>16</v>
      </c>
      <c r="F11" s="18">
        <v>16</v>
      </c>
      <c r="G11" s="18">
        <v>10</v>
      </c>
      <c r="H11" s="18">
        <v>9</v>
      </c>
    </row>
    <row r="12" spans="1:8" x14ac:dyDescent="0.35">
      <c r="A12" s="18" t="s">
        <v>109</v>
      </c>
      <c r="B12" s="27">
        <v>177963</v>
      </c>
      <c r="C12" s="27">
        <v>117547</v>
      </c>
      <c r="D12" s="27">
        <v>105164</v>
      </c>
      <c r="E12" s="27">
        <v>94286</v>
      </c>
      <c r="F12" s="27">
        <v>83364</v>
      </c>
      <c r="G12" s="27">
        <v>95958</v>
      </c>
      <c r="H12" s="27">
        <v>78237</v>
      </c>
    </row>
    <row r="13" spans="1:8" x14ac:dyDescent="0.35">
      <c r="A13" s="18" t="s">
        <v>135</v>
      </c>
      <c r="B13" s="28">
        <v>0.21964097279218014</v>
      </c>
      <c r="C13" s="28">
        <v>0.16738649681238421</v>
      </c>
      <c r="D13" s="28">
        <v>0.15234248811770892</v>
      </c>
      <c r="E13" s="28">
        <v>0.14248323344425404</v>
      </c>
      <c r="F13" s="28">
        <v>0.1200674050496176</v>
      </c>
      <c r="G13" s="28">
        <v>0.11945251862594375</v>
      </c>
      <c r="H13" s="28">
        <v>9.0688535991654107E-2</v>
      </c>
    </row>
    <row r="14" spans="1:8" x14ac:dyDescent="0.35">
      <c r="A14" s="18" t="s">
        <v>122</v>
      </c>
      <c r="B14" s="18">
        <v>24</v>
      </c>
      <c r="C14" s="18">
        <v>18</v>
      </c>
      <c r="D14" s="18">
        <v>16</v>
      </c>
      <c r="E14" s="18">
        <v>14</v>
      </c>
      <c r="F14" s="18">
        <v>12</v>
      </c>
      <c r="G14" s="18">
        <v>12</v>
      </c>
      <c r="H14" s="18">
        <v>8</v>
      </c>
    </row>
    <row r="15" spans="1:8" x14ac:dyDescent="0.35">
      <c r="A15" s="18" t="s">
        <v>110</v>
      </c>
      <c r="B15" s="27">
        <v>52636</v>
      </c>
      <c r="C15" s="27">
        <v>25372</v>
      </c>
      <c r="D15" s="27">
        <v>36139</v>
      </c>
      <c r="E15" s="27">
        <v>50875</v>
      </c>
      <c r="F15" s="27">
        <v>48447</v>
      </c>
      <c r="G15" s="27">
        <v>72717</v>
      </c>
      <c r="H15" s="27">
        <v>116681</v>
      </c>
    </row>
    <row r="16" spans="1:8" x14ac:dyDescent="0.35">
      <c r="A16" s="18" t="s">
        <v>136</v>
      </c>
      <c r="B16" s="28">
        <v>6.49630667267308E-2</v>
      </c>
      <c r="C16" s="28">
        <v>3.6129634930060418E-2</v>
      </c>
      <c r="D16" s="28">
        <v>5.2351614412592548E-2</v>
      </c>
      <c r="E16" s="28">
        <v>7.6881345072189133E-2</v>
      </c>
      <c r="F16" s="28">
        <v>6.9777188863764023E-2</v>
      </c>
      <c r="G16" s="28">
        <v>9.0521152972370733E-2</v>
      </c>
      <c r="H16" s="28">
        <v>0.1352509562999884</v>
      </c>
    </row>
    <row r="17" spans="1:8" x14ac:dyDescent="0.35">
      <c r="A17" s="18" t="s">
        <v>123</v>
      </c>
      <c r="B17" s="18">
        <v>6</v>
      </c>
      <c r="C17" s="18">
        <v>6</v>
      </c>
      <c r="D17" s="18">
        <v>7</v>
      </c>
      <c r="E17" s="18">
        <v>8</v>
      </c>
      <c r="F17" s="18">
        <v>8</v>
      </c>
      <c r="G17" s="18">
        <v>8</v>
      </c>
      <c r="H17" s="18">
        <v>17</v>
      </c>
    </row>
    <row r="18" spans="1:8" x14ac:dyDescent="0.35">
      <c r="A18" s="18" t="s">
        <v>111</v>
      </c>
      <c r="B18" s="27">
        <v>36541</v>
      </c>
      <c r="C18" s="27">
        <v>5700</v>
      </c>
      <c r="D18" s="27">
        <v>10452</v>
      </c>
      <c r="E18" s="18"/>
      <c r="F18" s="18"/>
      <c r="G18" s="18"/>
      <c r="H18" s="18"/>
    </row>
    <row r="19" spans="1:8" x14ac:dyDescent="0.35">
      <c r="A19" s="18" t="s">
        <v>137</v>
      </c>
      <c r="B19" s="28">
        <v>4.509870471277206E-2</v>
      </c>
      <c r="C19" s="28">
        <v>8.1167790911770617E-3</v>
      </c>
      <c r="D19" s="28">
        <v>1.5140957797404946E-2</v>
      </c>
      <c r="E19" s="18"/>
      <c r="F19" s="18"/>
      <c r="G19" s="18"/>
      <c r="H19" s="18"/>
    </row>
    <row r="20" spans="1:8" x14ac:dyDescent="0.35">
      <c r="A20" s="18" t="s">
        <v>124</v>
      </c>
      <c r="B20" s="18">
        <v>5</v>
      </c>
      <c r="C20" s="18">
        <v>1</v>
      </c>
      <c r="D20" s="18"/>
      <c r="E20" s="18"/>
      <c r="F20" s="18"/>
      <c r="G20" s="18"/>
      <c r="H20" s="18"/>
    </row>
    <row r="21" spans="1:8" x14ac:dyDescent="0.35">
      <c r="A21" s="18" t="s">
        <v>112</v>
      </c>
      <c r="B21" s="27">
        <v>20634</v>
      </c>
      <c r="C21" s="27">
        <v>8032</v>
      </c>
      <c r="D21" s="27">
        <v>3822</v>
      </c>
      <c r="E21" s="27">
        <v>1493</v>
      </c>
      <c r="F21" s="27">
        <v>5955</v>
      </c>
      <c r="G21" s="27">
        <v>5590</v>
      </c>
      <c r="H21" s="27">
        <v>2665</v>
      </c>
    </row>
    <row r="22" spans="1:8" x14ac:dyDescent="0.35">
      <c r="A22" s="18" t="s">
        <v>138</v>
      </c>
      <c r="B22" s="28">
        <v>2.5466371282760154E-2</v>
      </c>
      <c r="C22" s="28">
        <v>1.1437538536900729E-2</v>
      </c>
      <c r="D22" s="28">
        <v>5.5366188960659871E-3</v>
      </c>
      <c r="E22" s="28">
        <v>2.256193576270828E-3</v>
      </c>
      <c r="F22" s="28">
        <v>8.5768604801889654E-3</v>
      </c>
      <c r="G22" s="28">
        <v>6.958665031774584E-3</v>
      </c>
      <c r="H22" s="28">
        <v>3.0891387504346818E-3</v>
      </c>
    </row>
    <row r="23" spans="1:8" x14ac:dyDescent="0.35">
      <c r="A23" s="18" t="s">
        <v>125</v>
      </c>
      <c r="B23" s="18">
        <v>2</v>
      </c>
      <c r="C23" s="18">
        <v>1</v>
      </c>
      <c r="D23" s="18">
        <v>1</v>
      </c>
      <c r="E23" s="18"/>
      <c r="F23" s="18"/>
      <c r="G23" s="18"/>
      <c r="H23" s="18"/>
    </row>
    <row r="24" spans="1:8" x14ac:dyDescent="0.35">
      <c r="A24" s="18" t="s">
        <v>113</v>
      </c>
      <c r="B24" s="18"/>
      <c r="C24" s="18"/>
      <c r="D24" s="27">
        <v>774</v>
      </c>
      <c r="E24" s="27">
        <v>5438</v>
      </c>
      <c r="F24" s="27">
        <v>13761</v>
      </c>
      <c r="G24" s="27">
        <v>14100</v>
      </c>
      <c r="H24" s="27">
        <v>9798</v>
      </c>
    </row>
    <row r="25" spans="1:8" x14ac:dyDescent="0.35">
      <c r="A25" s="18" t="s">
        <v>139</v>
      </c>
      <c r="B25" s="18"/>
      <c r="C25" s="18"/>
      <c r="D25" s="28">
        <v>1.1212305142739598E-3</v>
      </c>
      <c r="E25" s="28">
        <v>8.2178035283059364E-3</v>
      </c>
      <c r="F25" s="28">
        <v>1.9819677089484525E-2</v>
      </c>
      <c r="G25" s="28">
        <v>1.7552267790343763E-2</v>
      </c>
      <c r="H25" s="28">
        <v>1.1357366407789497E-2</v>
      </c>
    </row>
    <row r="26" spans="1:8" x14ac:dyDescent="0.35">
      <c r="A26" s="18" t="s">
        <v>126</v>
      </c>
      <c r="B26" s="18"/>
      <c r="C26" s="18"/>
      <c r="D26" s="18"/>
      <c r="E26" s="18"/>
      <c r="F26" s="18">
        <v>2</v>
      </c>
      <c r="G26" s="18">
        <v>1</v>
      </c>
      <c r="H26" s="18">
        <v>1</v>
      </c>
    </row>
    <row r="27" spans="1:8" x14ac:dyDescent="0.35">
      <c r="A27" s="18" t="s">
        <v>114</v>
      </c>
      <c r="B27" s="18"/>
      <c r="C27" s="18"/>
      <c r="D27" s="18"/>
      <c r="E27" s="27">
        <v>16480</v>
      </c>
      <c r="F27" s="27">
        <v>23776</v>
      </c>
      <c r="G27" s="27">
        <v>20523</v>
      </c>
      <c r="H27" s="27">
        <v>65788</v>
      </c>
    </row>
    <row r="28" spans="1:8" x14ac:dyDescent="0.35">
      <c r="A28" s="18" t="s">
        <v>140</v>
      </c>
      <c r="B28" s="18"/>
      <c r="C28" s="18"/>
      <c r="D28" s="18"/>
      <c r="E28" s="28">
        <v>2.4904266669084556E-2</v>
      </c>
      <c r="F28" s="28">
        <v>3.4244069651884604E-2</v>
      </c>
      <c r="G28" s="28">
        <v>2.5547885947604612E-2</v>
      </c>
      <c r="H28" s="28">
        <v>7.6258258954445352E-2</v>
      </c>
    </row>
    <row r="29" spans="1:8" x14ac:dyDescent="0.35">
      <c r="A29" s="18" t="s">
        <v>127</v>
      </c>
      <c r="B29" s="18"/>
      <c r="C29" s="18"/>
      <c r="D29" s="18"/>
      <c r="E29" s="18">
        <v>1</v>
      </c>
      <c r="F29" s="18">
        <v>1</v>
      </c>
      <c r="G29" s="18">
        <v>1</v>
      </c>
      <c r="H29" s="18">
        <v>1</v>
      </c>
    </row>
    <row r="30" spans="1:8" x14ac:dyDescent="0.35">
      <c r="A30" s="18" t="s">
        <v>115</v>
      </c>
      <c r="B30" s="18"/>
      <c r="C30" s="18"/>
      <c r="D30" s="18"/>
      <c r="E30" s="27">
        <v>4152</v>
      </c>
      <c r="F30" s="27">
        <v>10109</v>
      </c>
      <c r="G30" s="27">
        <v>1579</v>
      </c>
      <c r="H30" s="18"/>
    </row>
    <row r="31" spans="1:8" x14ac:dyDescent="0.35">
      <c r="A31" s="18" t="s">
        <v>141</v>
      </c>
      <c r="B31" s="18"/>
      <c r="C31" s="18"/>
      <c r="D31" s="18"/>
      <c r="E31" s="28">
        <v>6.2744244666285845E-3</v>
      </c>
      <c r="F31" s="28">
        <v>1.4559778773170487E-2</v>
      </c>
      <c r="G31" s="28">
        <v>1.9656050241810496E-3</v>
      </c>
      <c r="H31" s="18"/>
    </row>
    <row r="32" spans="1:8" x14ac:dyDescent="0.35">
      <c r="A32" s="18" t="s">
        <v>128</v>
      </c>
      <c r="B32" s="18"/>
      <c r="C32" s="18"/>
      <c r="D32" s="18"/>
      <c r="E32" s="18"/>
      <c r="F32" s="18"/>
      <c r="G32" s="18"/>
      <c r="H32" s="18"/>
    </row>
    <row r="33" spans="1:9" x14ac:dyDescent="0.35">
      <c r="A33" s="18" t="s">
        <v>116</v>
      </c>
      <c r="B33" s="27">
        <v>510</v>
      </c>
      <c r="C33" s="27">
        <v>2688</v>
      </c>
      <c r="D33" s="27">
        <v>11985</v>
      </c>
      <c r="E33" s="27">
        <v>6031</v>
      </c>
      <c r="F33" s="27">
        <v>18718</v>
      </c>
      <c r="G33" s="27">
        <v>18527</v>
      </c>
      <c r="H33" s="27">
        <v>16433</v>
      </c>
    </row>
    <row r="34" spans="1:9" x14ac:dyDescent="0.35">
      <c r="A34" s="18" t="s">
        <v>142</v>
      </c>
      <c r="B34" s="28">
        <v>6.2943924368555186E-4</v>
      </c>
      <c r="C34" s="28">
        <v>3.8277021398392878E-3</v>
      </c>
      <c r="D34" s="28">
        <v>1.7361689552420425E-2</v>
      </c>
      <c r="E34" s="28">
        <v>9.113933997648602E-3</v>
      </c>
      <c r="F34" s="28">
        <v>2.695913928936642E-2</v>
      </c>
      <c r="G34" s="28">
        <v>2.3063181939836801E-2</v>
      </c>
      <c r="H34" s="28">
        <v>1.9048336617595921E-2</v>
      </c>
    </row>
    <row r="35" spans="1:9" x14ac:dyDescent="0.35">
      <c r="A35" s="18" t="s">
        <v>129</v>
      </c>
      <c r="B35" s="18"/>
      <c r="C35" s="18"/>
      <c r="D35" s="18">
        <v>1</v>
      </c>
      <c r="E35" s="18">
        <v>1</v>
      </c>
      <c r="F35" s="18">
        <v>2</v>
      </c>
      <c r="G35" s="18">
        <v>2</v>
      </c>
      <c r="H35" s="18"/>
    </row>
    <row r="36" spans="1:9" x14ac:dyDescent="0.35">
      <c r="A36" s="18" t="s">
        <v>117</v>
      </c>
      <c r="B36" s="27">
        <v>59961</v>
      </c>
      <c r="C36" s="27">
        <v>45277</v>
      </c>
      <c r="D36" s="27">
        <v>30538</v>
      </c>
      <c r="E36" s="27">
        <v>18790</v>
      </c>
      <c r="F36" s="27">
        <v>33526</v>
      </c>
      <c r="G36" s="27">
        <v>21349</v>
      </c>
      <c r="H36" s="27">
        <v>42321</v>
      </c>
    </row>
    <row r="37" spans="1:9" x14ac:dyDescent="0.35">
      <c r="A37" s="18" t="s">
        <v>143</v>
      </c>
      <c r="B37" s="28">
        <v>7.4003542138488976E-2</v>
      </c>
      <c r="C37" s="28">
        <v>6.4474281914249795E-2</v>
      </c>
      <c r="D37" s="28">
        <v>4.4237903675579046E-2</v>
      </c>
      <c r="E37" s="28">
        <v>2.839509531020017E-2</v>
      </c>
      <c r="F37" s="28">
        <v>4.8286788322219179E-2</v>
      </c>
      <c r="G37" s="28">
        <v>2.657612518128007E-2</v>
      </c>
      <c r="H37" s="28">
        <v>4.905645067810363E-2</v>
      </c>
    </row>
    <row r="38" spans="1:9" x14ac:dyDescent="0.35">
      <c r="A38" s="18" t="s">
        <v>130</v>
      </c>
      <c r="B38" s="18">
        <v>5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2</v>
      </c>
    </row>
    <row r="39" spans="1:9" x14ac:dyDescent="0.35">
      <c r="A39" s="18" t="s">
        <v>118</v>
      </c>
      <c r="B39" s="27">
        <v>810245</v>
      </c>
      <c r="C39" s="27">
        <v>702249</v>
      </c>
      <c r="D39" s="27">
        <v>690313</v>
      </c>
      <c r="E39" s="27">
        <v>661734</v>
      </c>
      <c r="F39" s="27">
        <v>694310</v>
      </c>
      <c r="G39" s="27">
        <v>803315</v>
      </c>
      <c r="H39" s="27">
        <v>862700</v>
      </c>
      <c r="I39" s="29"/>
    </row>
    <row r="40" spans="1:9" x14ac:dyDescent="0.35">
      <c r="A40" s="18" t="s">
        <v>131</v>
      </c>
      <c r="B40" s="18">
        <v>108</v>
      </c>
      <c r="C40" s="18">
        <v>108</v>
      </c>
      <c r="D40" s="18">
        <v>108</v>
      </c>
      <c r="E40" s="18">
        <v>108</v>
      </c>
      <c r="F40" s="18">
        <v>108</v>
      </c>
      <c r="G40" s="18">
        <v>90</v>
      </c>
      <c r="H40" s="18">
        <v>90</v>
      </c>
    </row>
    <row r="41" spans="1:9" x14ac:dyDescent="0.35">
      <c r="A41" s="18" t="s">
        <v>5</v>
      </c>
      <c r="B41" s="28">
        <v>0.68748960592453812</v>
      </c>
      <c r="C41" s="28">
        <v>0.63984725646590601</v>
      </c>
      <c r="D41" s="28">
        <v>0.62308015856969556</v>
      </c>
      <c r="E41" s="28">
        <v>0.54688353557700808</v>
      </c>
      <c r="F41" s="28">
        <v>0.54175461046586482</v>
      </c>
      <c r="G41" s="28">
        <v>0.64024008754221096</v>
      </c>
      <c r="H41" s="28">
        <v>0.628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45725-899D-4952-A1DF-3A970BECA884}">
  <dimension ref="A1:H29"/>
  <sheetViews>
    <sheetView workbookViewId="0">
      <selection activeCell="B1" sqref="B1"/>
    </sheetView>
  </sheetViews>
  <sheetFormatPr defaultRowHeight="15" x14ac:dyDescent="0.35"/>
  <sheetData>
    <row r="1" spans="1:8" ht="19.5" customHeight="1" x14ac:dyDescent="0.4">
      <c r="A1" s="21" t="s">
        <v>150</v>
      </c>
    </row>
    <row r="2" spans="1:8" x14ac:dyDescent="0.35">
      <c r="A2" s="18" t="s">
        <v>215</v>
      </c>
      <c r="B2" s="18"/>
    </row>
    <row r="3" spans="1:8" x14ac:dyDescent="0.35">
      <c r="A3" s="18"/>
      <c r="B3" s="18"/>
    </row>
    <row r="4" spans="1:8" x14ac:dyDescent="0.35">
      <c r="A4" s="35" t="s">
        <v>214</v>
      </c>
      <c r="B4" s="18"/>
    </row>
    <row r="5" spans="1:8" x14ac:dyDescent="0.35">
      <c r="A5" s="18" t="s">
        <v>212</v>
      </c>
      <c r="B5" s="18"/>
    </row>
    <row r="6" spans="1:8" x14ac:dyDescent="0.35">
      <c r="A6" s="36" t="s">
        <v>213</v>
      </c>
      <c r="B6" s="18"/>
    </row>
    <row r="7" spans="1:8" x14ac:dyDescent="0.35">
      <c r="A7" s="18" t="s">
        <v>148</v>
      </c>
      <c r="B7" s="18"/>
    </row>
    <row r="8" spans="1:8" x14ac:dyDescent="0.35">
      <c r="A8" s="36" t="s">
        <v>203</v>
      </c>
      <c r="B8" s="18"/>
      <c r="F8" s="1"/>
      <c r="G8" s="1"/>
      <c r="H8" s="1"/>
    </row>
    <row r="9" spans="1:8" x14ac:dyDescent="0.35">
      <c r="A9" s="36" t="s">
        <v>204</v>
      </c>
      <c r="B9" s="18"/>
      <c r="F9" s="1"/>
      <c r="G9" s="1"/>
      <c r="H9" s="1"/>
    </row>
    <row r="10" spans="1:8" x14ac:dyDescent="0.35">
      <c r="A10" s="18"/>
      <c r="B10" s="18"/>
      <c r="F10" s="1"/>
      <c r="G10" s="1"/>
      <c r="H10" s="1"/>
    </row>
    <row r="11" spans="1:8" x14ac:dyDescent="0.35">
      <c r="A11" s="35" t="s">
        <v>157</v>
      </c>
      <c r="B11" s="18"/>
    </row>
    <row r="12" spans="1:8" x14ac:dyDescent="0.35">
      <c r="A12" s="18" t="s">
        <v>148</v>
      </c>
      <c r="B12" s="18"/>
    </row>
    <row r="13" spans="1:8" x14ac:dyDescent="0.35">
      <c r="A13" s="36" t="s">
        <v>203</v>
      </c>
      <c r="B13" s="18"/>
    </row>
    <row r="14" spans="1:8" x14ac:dyDescent="0.35">
      <c r="A14" s="36" t="s">
        <v>205</v>
      </c>
      <c r="B14" s="18"/>
    </row>
    <row r="15" spans="1:8" x14ac:dyDescent="0.35">
      <c r="A15" s="36" t="s">
        <v>206</v>
      </c>
      <c r="B15" s="18"/>
    </row>
    <row r="16" spans="1:8" x14ac:dyDescent="0.35">
      <c r="A16" s="36" t="s">
        <v>207</v>
      </c>
      <c r="B16" s="18"/>
    </row>
    <row r="17" spans="1:2" x14ac:dyDescent="0.35">
      <c r="A17" s="18"/>
      <c r="B17" s="18"/>
    </row>
    <row r="18" spans="1:2" x14ac:dyDescent="0.35">
      <c r="A18" s="35" t="s">
        <v>158</v>
      </c>
      <c r="B18" s="18"/>
    </row>
    <row r="19" spans="1:2" x14ac:dyDescent="0.35">
      <c r="A19" s="33" t="s">
        <v>148</v>
      </c>
      <c r="B19" s="18"/>
    </row>
    <row r="20" spans="1:2" x14ac:dyDescent="0.35">
      <c r="A20" s="36" t="s">
        <v>203</v>
      </c>
      <c r="B20" s="18"/>
    </row>
    <row r="21" spans="1:2" x14ac:dyDescent="0.35">
      <c r="A21" s="36" t="s">
        <v>208</v>
      </c>
      <c r="B21" s="18"/>
    </row>
    <row r="22" spans="1:2" x14ac:dyDescent="0.35">
      <c r="A22" s="36" t="s">
        <v>209</v>
      </c>
      <c r="B22" s="18"/>
    </row>
    <row r="23" spans="1:2" x14ac:dyDescent="0.35">
      <c r="A23" s="36" t="s">
        <v>210</v>
      </c>
      <c r="B23" s="18"/>
    </row>
    <row r="24" spans="1:2" x14ac:dyDescent="0.35">
      <c r="A24" s="36" t="s">
        <v>211</v>
      </c>
      <c r="B24" s="18"/>
    </row>
    <row r="25" spans="1:2" x14ac:dyDescent="0.35">
      <c r="A25" s="18"/>
      <c r="B25" s="18"/>
    </row>
    <row r="26" spans="1:2" x14ac:dyDescent="0.35">
      <c r="A26" s="35" t="s">
        <v>159</v>
      </c>
      <c r="B26" s="18"/>
    </row>
    <row r="27" spans="1:2" x14ac:dyDescent="0.35">
      <c r="A27" s="34" t="s">
        <v>148</v>
      </c>
      <c r="B27" s="18"/>
    </row>
    <row r="28" spans="1:2" x14ac:dyDescent="0.35">
      <c r="A28" s="36" t="s">
        <v>203</v>
      </c>
      <c r="B28" s="18"/>
    </row>
    <row r="29" spans="1:2" x14ac:dyDescent="0.35">
      <c r="A29" s="36" t="s">
        <v>149</v>
      </c>
      <c r="B29" s="1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D1A2A-00FA-4F88-A9C6-6611C1B534AD}">
  <dimension ref="A1:B16"/>
  <sheetViews>
    <sheetView workbookViewId="0">
      <selection activeCell="F9" sqref="F9"/>
    </sheetView>
  </sheetViews>
  <sheetFormatPr defaultRowHeight="15" x14ac:dyDescent="0.35"/>
  <cols>
    <col min="1" max="1" width="12.59765625" customWidth="1"/>
    <col min="2" max="2" width="29.3984375" customWidth="1"/>
  </cols>
  <sheetData>
    <row r="1" spans="1:2" ht="19.5" customHeight="1" x14ac:dyDescent="0.4">
      <c r="A1" s="31" t="s">
        <v>184</v>
      </c>
    </row>
    <row r="2" spans="1:2" x14ac:dyDescent="0.35">
      <c r="A2" s="32" t="s">
        <v>185</v>
      </c>
      <c r="B2" s="32" t="s">
        <v>186</v>
      </c>
    </row>
    <row r="3" spans="1:2" x14ac:dyDescent="0.35">
      <c r="A3" s="18" t="s">
        <v>187</v>
      </c>
      <c r="B3" s="18" t="s">
        <v>191</v>
      </c>
    </row>
    <row r="4" spans="1:2" x14ac:dyDescent="0.35">
      <c r="A4" s="18" t="s">
        <v>188</v>
      </c>
      <c r="B4" s="18" t="s">
        <v>192</v>
      </c>
    </row>
    <row r="5" spans="1:2" x14ac:dyDescent="0.35">
      <c r="A5" s="18" t="s">
        <v>37</v>
      </c>
      <c r="B5" s="18" t="s">
        <v>193</v>
      </c>
    </row>
    <row r="6" spans="1:2" x14ac:dyDescent="0.35">
      <c r="A6" s="18" t="s">
        <v>0</v>
      </c>
      <c r="B6" s="18" t="s">
        <v>194</v>
      </c>
    </row>
    <row r="7" spans="1:2" x14ac:dyDescent="0.35">
      <c r="A7" s="18" t="s">
        <v>88</v>
      </c>
      <c r="B7" s="18" t="s">
        <v>195</v>
      </c>
    </row>
    <row r="8" spans="1:2" x14ac:dyDescent="0.35">
      <c r="A8" s="18" t="s">
        <v>36</v>
      </c>
      <c r="B8" s="18" t="s">
        <v>1</v>
      </c>
    </row>
    <row r="9" spans="1:2" x14ac:dyDescent="0.35">
      <c r="A9" s="18" t="s">
        <v>2</v>
      </c>
      <c r="B9" s="18" t="s">
        <v>196</v>
      </c>
    </row>
    <row r="10" spans="1:2" x14ac:dyDescent="0.35">
      <c r="A10" s="18" t="s">
        <v>6</v>
      </c>
      <c r="B10" s="30" t="s">
        <v>197</v>
      </c>
    </row>
    <row r="11" spans="1:2" x14ac:dyDescent="0.35">
      <c r="A11" s="18" t="s">
        <v>7</v>
      </c>
      <c r="B11" s="30" t="s">
        <v>198</v>
      </c>
    </row>
    <row r="12" spans="1:2" x14ac:dyDescent="0.35">
      <c r="A12" s="18" t="s">
        <v>8</v>
      </c>
      <c r="B12" s="30" t="s">
        <v>199</v>
      </c>
    </row>
    <row r="13" spans="1:2" x14ac:dyDescent="0.35">
      <c r="A13" s="18" t="s">
        <v>13</v>
      </c>
      <c r="B13" s="9" t="s">
        <v>105</v>
      </c>
    </row>
    <row r="14" spans="1:2" x14ac:dyDescent="0.35">
      <c r="A14" s="18" t="s">
        <v>189</v>
      </c>
      <c r="B14" s="9" t="s">
        <v>200</v>
      </c>
    </row>
    <row r="15" spans="1:2" x14ac:dyDescent="0.35">
      <c r="A15" s="9" t="s">
        <v>112</v>
      </c>
      <c r="B15" s="9" t="s">
        <v>201</v>
      </c>
    </row>
    <row r="16" spans="1:2" x14ac:dyDescent="0.35">
      <c r="A16" s="9" t="s">
        <v>114</v>
      </c>
      <c r="B16" s="9" t="s">
        <v>202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Contents</vt:lpstr>
      <vt:lpstr>1. EP-GB</vt:lpstr>
      <vt:lpstr>2. EP-NI</vt:lpstr>
      <vt:lpstr>3. SC (NAW)</vt:lpstr>
      <vt:lpstr>4. SP</vt:lpstr>
      <vt:lpstr>5. NIA</vt:lpstr>
      <vt:lpstr>Notes &amp; sources</vt:lpstr>
      <vt:lpstr>Party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UBEROI, Elise</dc:creator>
  <cp:lastModifiedBy>UBEROI, Elise</cp:lastModifiedBy>
  <dcterms:created xsi:type="dcterms:W3CDTF">2022-02-17T11:46:51Z</dcterms:created>
  <dcterms:modified xsi:type="dcterms:W3CDTF">2023-03-17T08:39:34Z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f77787-5df4-43b6-a2a8-8d8b678a318b_Enabled">
    <vt:lpwstr>true</vt:lpwstr>
  </property>
  <property fmtid="{D5CDD505-2E9C-101B-9397-08002B2CF9AE}" pid="3" name="MSIP_Label_a8f77787-5df4-43b6-a2a8-8d8b678a318b_SetDate">
    <vt:lpwstr>2022-02-17T11:46:51Z</vt:lpwstr>
  </property>
  <property fmtid="{D5CDD505-2E9C-101B-9397-08002B2CF9AE}" pid="4" name="MSIP_Label_a8f77787-5df4-43b6-a2a8-8d8b678a318b_Method">
    <vt:lpwstr>Standard</vt:lpwstr>
  </property>
  <property fmtid="{D5CDD505-2E9C-101B-9397-08002B2CF9AE}" pid="5" name="MSIP_Label_a8f77787-5df4-43b6-a2a8-8d8b678a318b_Name">
    <vt:lpwstr>a8f77787-5df4-43b6-a2a8-8d8b678a318b</vt:lpwstr>
  </property>
  <property fmtid="{D5CDD505-2E9C-101B-9397-08002B2CF9AE}" pid="6" name="MSIP_Label_a8f77787-5df4-43b6-a2a8-8d8b678a318b_SiteId">
    <vt:lpwstr>1ce6dd9e-b337-4088-be5e-8dbbec04b34a</vt:lpwstr>
  </property>
  <property fmtid="{D5CDD505-2E9C-101B-9397-08002B2CF9AE}" pid="7" name="MSIP_Label_a8f77787-5df4-43b6-a2a8-8d8b678a318b_ActionId">
    <vt:lpwstr>29134eb5-8233-4066-a758-6e6e06d3d721</vt:lpwstr>
  </property>
  <property fmtid="{D5CDD505-2E9C-101B-9397-08002B2CF9AE}" pid="8" name="MSIP_Label_a8f77787-5df4-43b6-a2a8-8d8b678a318b_ContentBits">
    <vt:lpwstr>0</vt:lpwstr>
  </property>
</Properties>
</file>